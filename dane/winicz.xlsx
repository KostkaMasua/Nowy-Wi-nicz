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E77BB1380336183C/Dokumenty/"/>
    </mc:Choice>
  </mc:AlternateContent>
  <xr:revisionPtr revIDLastSave="10966" documentId="8_{F1A4132C-D66C-4A86-8EBA-35A871664110}" xr6:coauthVersionLast="47" xr6:coauthVersionMax="47" xr10:uidLastSave="{B1C1CA99-8E33-4176-AA71-029BDB9115CC}"/>
  <bookViews>
    <workbookView xWindow="19095" yWindow="0" windowWidth="19410" windowHeight="20985" xr2:uid="{E834E5EE-D5DE-4237-B25F-389D950460C4}"/>
  </bookViews>
  <sheets>
    <sheet name="Arkusz1" sheetId="1" r:id="rId1"/>
  </sheets>
  <definedNames>
    <definedName name="_xlnm._FilterDatabase" localSheetId="0" hidden="1">Arkusz1!$A$1:$X$1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716" i="1" l="1"/>
  <c r="E1716" i="1"/>
  <c r="A1714" i="1"/>
  <c r="E1714" i="1"/>
  <c r="A1708" i="1"/>
  <c r="E1708" i="1"/>
  <c r="A1705" i="1"/>
  <c r="E1705" i="1"/>
  <c r="A1700" i="1"/>
  <c r="E1700" i="1"/>
  <c r="A1697" i="1"/>
  <c r="E1697" i="1"/>
  <c r="A1695" i="1"/>
  <c r="E1695" i="1"/>
  <c r="A1693" i="1"/>
  <c r="E1693" i="1"/>
  <c r="A1691" i="1"/>
  <c r="E1691" i="1"/>
  <c r="A1686" i="1"/>
  <c r="E1686" i="1"/>
  <c r="A1683" i="1"/>
  <c r="E1683" i="1"/>
  <c r="A1682" i="1"/>
  <c r="E1682" i="1"/>
  <c r="A1679" i="1"/>
  <c r="E1679" i="1"/>
  <c r="A1677" i="1"/>
  <c r="E1677" i="1"/>
  <c r="A1676" i="1"/>
  <c r="E1676" i="1"/>
  <c r="A1671" i="1"/>
  <c r="E1671" i="1"/>
  <c r="A1668" i="1"/>
  <c r="E1668" i="1"/>
  <c r="A1665" i="1"/>
  <c r="E1665" i="1"/>
  <c r="A1660" i="1"/>
  <c r="E1660" i="1"/>
  <c r="A1658" i="1"/>
  <c r="E1658" i="1"/>
  <c r="A1652" i="1"/>
  <c r="E1652" i="1"/>
  <c r="A1649" i="1"/>
  <c r="E1649" i="1"/>
  <c r="A1645" i="1"/>
  <c r="E1645" i="1"/>
  <c r="A1639" i="1"/>
  <c r="E1639" i="1"/>
  <c r="A1625" i="1"/>
  <c r="E1625" i="1"/>
  <c r="A1618" i="1"/>
  <c r="A1623" i="1"/>
  <c r="E1623" i="1"/>
  <c r="E1618" i="1"/>
  <c r="A1611" i="1"/>
  <c r="E1611" i="1"/>
  <c r="A1607" i="1"/>
  <c r="A1600" i="1"/>
  <c r="E1607" i="1"/>
  <c r="E1600" i="1"/>
  <c r="A1597" i="1"/>
  <c r="E1597" i="1"/>
  <c r="A1595" i="1"/>
  <c r="E1595" i="1"/>
  <c r="A1594" i="1"/>
  <c r="E1594" i="1"/>
  <c r="A1593" i="1"/>
  <c r="E1593" i="1"/>
  <c r="A1586" i="1"/>
  <c r="E1586" i="1"/>
  <c r="A1576" i="1"/>
  <c r="E1576" i="1"/>
  <c r="A1566" i="1"/>
  <c r="E1566" i="1"/>
  <c r="A1564" i="1"/>
  <c r="E1564" i="1"/>
  <c r="A1560" i="1"/>
  <c r="E1560" i="1"/>
  <c r="A1558" i="1"/>
  <c r="E1558" i="1"/>
  <c r="A1556" i="1"/>
  <c r="E1556" i="1"/>
  <c r="A1550" i="1"/>
  <c r="E1550" i="1"/>
  <c r="A1543" i="1"/>
  <c r="E1543" i="1"/>
  <c r="A1541" i="1"/>
  <c r="E1541" i="1"/>
  <c r="A1540" i="1"/>
  <c r="E1540" i="1"/>
  <c r="A1535" i="1"/>
  <c r="E1535" i="1"/>
  <c r="A1533" i="1"/>
  <c r="E1533" i="1"/>
  <c r="A1529" i="1"/>
  <c r="E1529" i="1"/>
  <c r="A1526" i="1"/>
  <c r="E1526" i="1"/>
  <c r="A1512" i="1"/>
  <c r="E1512" i="1"/>
  <c r="A1506" i="1"/>
  <c r="E1506" i="1"/>
  <c r="A1504" i="1"/>
  <c r="E1504" i="1"/>
  <c r="A1501" i="1"/>
  <c r="E1501" i="1"/>
  <c r="A1500" i="1"/>
  <c r="E1500" i="1"/>
  <c r="A1498" i="1"/>
  <c r="E1498" i="1"/>
  <c r="A1493" i="1"/>
  <c r="E1493" i="1"/>
  <c r="A1490" i="1"/>
  <c r="E1490" i="1"/>
  <c r="A1489" i="1"/>
  <c r="E1489" i="1"/>
  <c r="A1483" i="1"/>
  <c r="A1484" i="1"/>
  <c r="E1484" i="1"/>
  <c r="E1483" i="1"/>
  <c r="E1480" i="1"/>
  <c r="E1378" i="1"/>
  <c r="A1480" i="1"/>
  <c r="A1473" i="1"/>
  <c r="A1469" i="1"/>
  <c r="A1466" i="1"/>
  <c r="A1467" i="1"/>
  <c r="A1464" i="1"/>
  <c r="A1458" i="1"/>
  <c r="A1456" i="1"/>
  <c r="A1454" i="1"/>
  <c r="A1453" i="1"/>
  <c r="A1452" i="1"/>
  <c r="A1450" i="1"/>
  <c r="A1448" i="1"/>
  <c r="A1441" i="1"/>
  <c r="A1439" i="1"/>
  <c r="A1437" i="1"/>
  <c r="A1423" i="1"/>
  <c r="A1421" i="1"/>
  <c r="A1416" i="1"/>
  <c r="A1415" i="1"/>
  <c r="A1413" i="1"/>
  <c r="A1410" i="1"/>
  <c r="A1406" i="1"/>
  <c r="A1405" i="1"/>
  <c r="A1399" i="1"/>
  <c r="A1397" i="1"/>
  <c r="A1391" i="1"/>
  <c r="A1388" i="1"/>
  <c r="A1382" i="1"/>
  <c r="A1378" i="1"/>
  <c r="A1374" i="1"/>
  <c r="A1371" i="1"/>
  <c r="E1374" i="1"/>
  <c r="E1371" i="1"/>
  <c r="A1369" i="1"/>
  <c r="E1369" i="1"/>
  <c r="A1364" i="1"/>
  <c r="E1364" i="1"/>
  <c r="A1363" i="1"/>
  <c r="E1363" i="1"/>
  <c r="A1361" i="1"/>
  <c r="E1361" i="1"/>
  <c r="A1358" i="1"/>
  <c r="E1358" i="1"/>
  <c r="E1355" i="1"/>
  <c r="A1355" i="1"/>
  <c r="A1351" i="1"/>
  <c r="E1351" i="1"/>
  <c r="A1347" i="1"/>
  <c r="E1347" i="1"/>
  <c r="A1343" i="1"/>
  <c r="E1343" i="1"/>
  <c r="A1329" i="1"/>
  <c r="E1329" i="1"/>
  <c r="A1324" i="1"/>
  <c r="A1322" i="1"/>
  <c r="E1324" i="1"/>
  <c r="E1322" i="1"/>
  <c r="A1320" i="1"/>
  <c r="E1320" i="1"/>
  <c r="A1318" i="1"/>
  <c r="E1318" i="1"/>
  <c r="A1315" i="1"/>
  <c r="E1315" i="1"/>
  <c r="A1310" i="1"/>
  <c r="E1310" i="1"/>
  <c r="A1308" i="1"/>
  <c r="E1308" i="1"/>
  <c r="A1300" i="1"/>
  <c r="E1300" i="1"/>
  <c r="A1294" i="1"/>
  <c r="E1294" i="1"/>
  <c r="A1291" i="1"/>
  <c r="E1291" i="1"/>
  <c r="A1289" i="1"/>
  <c r="E1289" i="1"/>
  <c r="A1285" i="1"/>
  <c r="E1285" i="1"/>
  <c r="A1280" i="1"/>
  <c r="E1280" i="1"/>
  <c r="A1278" i="1"/>
  <c r="E1278" i="1"/>
  <c r="A1274" i="1"/>
  <c r="E1274" i="1"/>
  <c r="A1267" i="1"/>
  <c r="E1267" i="1"/>
  <c r="A1264" i="1"/>
  <c r="E1264" i="1"/>
  <c r="A1261" i="1"/>
  <c r="E1261" i="1"/>
  <c r="A1257" i="1"/>
  <c r="E1257" i="1"/>
  <c r="A1248" i="1"/>
  <c r="A1246" i="1"/>
  <c r="E1248" i="1"/>
  <c r="E1246" i="1"/>
  <c r="A1245" i="1"/>
  <c r="E1245" i="1"/>
  <c r="A1243" i="1"/>
  <c r="E1243" i="1"/>
  <c r="A1241" i="1"/>
  <c r="E1241" i="1"/>
  <c r="A1236" i="1"/>
  <c r="A1239" i="1"/>
  <c r="E1239" i="1"/>
  <c r="E1236" i="1"/>
  <c r="A1233" i="1"/>
  <c r="E1233" i="1"/>
  <c r="A1231" i="1"/>
  <c r="E1231" i="1"/>
  <c r="A1229" i="1"/>
  <c r="E1229" i="1"/>
  <c r="A1226" i="1"/>
  <c r="E1226" i="1"/>
  <c r="A1220" i="1"/>
  <c r="E1220" i="1"/>
  <c r="A1218" i="1"/>
  <c r="E1218" i="1"/>
  <c r="A1214" i="1"/>
  <c r="E1214" i="1"/>
  <c r="A1212" i="1"/>
  <c r="E1212" i="1"/>
  <c r="A1208" i="1"/>
  <c r="E1208" i="1"/>
  <c r="A1203" i="1"/>
  <c r="E1203" i="1"/>
  <c r="A1201" i="1"/>
  <c r="E1201" i="1"/>
  <c r="E1196" i="1"/>
  <c r="A1196" i="1"/>
  <c r="A1193" i="1"/>
  <c r="E1193" i="1"/>
  <c r="A1191" i="1"/>
  <c r="A1188" i="1"/>
  <c r="E1191" i="1"/>
  <c r="E1188" i="1"/>
  <c r="A1186" i="1"/>
  <c r="E1186" i="1"/>
  <c r="A1182" i="1"/>
  <c r="E1182" i="1"/>
  <c r="A1181" i="1"/>
  <c r="E1181" i="1"/>
  <c r="A1179" i="1"/>
  <c r="A1175" i="1"/>
  <c r="E1179" i="1"/>
  <c r="E1175" i="1"/>
  <c r="A1170" i="1"/>
  <c r="E1170" i="1"/>
  <c r="A1166" i="1"/>
  <c r="E1166" i="1"/>
  <c r="A1162" i="1"/>
  <c r="A1164" i="1"/>
  <c r="E1164" i="1"/>
  <c r="E1162" i="1"/>
  <c r="A1159" i="1"/>
  <c r="E1159" i="1"/>
  <c r="A1158" i="1"/>
  <c r="E1158" i="1"/>
  <c r="A1151" i="1"/>
  <c r="E1151" i="1"/>
  <c r="A1143" i="1"/>
  <c r="E1143" i="1"/>
  <c r="A1131" i="1"/>
  <c r="E1131" i="1"/>
  <c r="A1126" i="1"/>
  <c r="E1126" i="1"/>
  <c r="A1117" i="1"/>
  <c r="E1117" i="1"/>
  <c r="A1112" i="1"/>
  <c r="E1112" i="1"/>
  <c r="A1110" i="1"/>
  <c r="E1110" i="1"/>
  <c r="A1103" i="1"/>
  <c r="A1107" i="1"/>
  <c r="E1107" i="1"/>
  <c r="E1103" i="1"/>
  <c r="A1099" i="1"/>
  <c r="A1092" i="1"/>
  <c r="E1099" i="1"/>
  <c r="E1092" i="1"/>
  <c r="A1087" i="1"/>
  <c r="A1089" i="1"/>
  <c r="E1089" i="1"/>
  <c r="E1087" i="1"/>
  <c r="A1085" i="1"/>
  <c r="E1085" i="1"/>
  <c r="A1083" i="1"/>
  <c r="A1081" i="1"/>
  <c r="E1083" i="1"/>
  <c r="E1081" i="1"/>
  <c r="A1079" i="1"/>
  <c r="E1079" i="1"/>
  <c r="A1077" i="1"/>
  <c r="E1077" i="1"/>
  <c r="A1072" i="1"/>
  <c r="E1072" i="1"/>
  <c r="A1068" i="1"/>
  <c r="E1068" i="1"/>
  <c r="A1062" i="1"/>
  <c r="E1062" i="1"/>
  <c r="A1060" i="1"/>
  <c r="E1060" i="1"/>
  <c r="A1059" i="1"/>
  <c r="E1059" i="1"/>
  <c r="A1057" i="1"/>
  <c r="E1057" i="1"/>
  <c r="A1053" i="1"/>
  <c r="E1053" i="1"/>
  <c r="A1046" i="1"/>
  <c r="E1046" i="1"/>
  <c r="A1040" i="1"/>
  <c r="E1040" i="1"/>
  <c r="A1035" i="1"/>
  <c r="E1035" i="1"/>
  <c r="A1034" i="1"/>
  <c r="E1034" i="1"/>
  <c r="A1026" i="1"/>
  <c r="E1026" i="1"/>
  <c r="A1024" i="1"/>
  <c r="E1024" i="1"/>
  <c r="A1022" i="1"/>
  <c r="E1022" i="1"/>
  <c r="A1015" i="1"/>
  <c r="E1015" i="1"/>
  <c r="A1013" i="1"/>
  <c r="E1013" i="1"/>
  <c r="A1011" i="1"/>
  <c r="E1011" i="1"/>
  <c r="A1009" i="1"/>
  <c r="E1009" i="1"/>
  <c r="A1006" i="1"/>
  <c r="E1006" i="1"/>
  <c r="A1004" i="1"/>
  <c r="E1004" i="1"/>
  <c r="A1002" i="1"/>
  <c r="E1002" i="1"/>
  <c r="A999" i="1"/>
  <c r="E999" i="1"/>
  <c r="A998" i="1"/>
  <c r="E998" i="1"/>
  <c r="A995" i="1"/>
  <c r="E995" i="1"/>
  <c r="A988" i="1"/>
  <c r="E988" i="1"/>
  <c r="A984" i="1"/>
  <c r="E984" i="1"/>
  <c r="A981" i="1"/>
  <c r="E981" i="1"/>
  <c r="A976" i="1"/>
  <c r="E976" i="1"/>
  <c r="A974" i="1"/>
  <c r="E974" i="1"/>
  <c r="A969" i="1"/>
  <c r="E969" i="1"/>
  <c r="A954" i="1"/>
  <c r="E954" i="1"/>
  <c r="A952" i="1"/>
  <c r="E952" i="1"/>
  <c r="A950" i="1"/>
  <c r="E950" i="1"/>
  <c r="A947" i="1"/>
  <c r="E947" i="1"/>
  <c r="A943" i="1"/>
  <c r="E943" i="1"/>
  <c r="A935" i="1"/>
  <c r="E935" i="1"/>
  <c r="A930" i="1"/>
  <c r="E930" i="1"/>
  <c r="A928" i="1"/>
  <c r="E928" i="1"/>
  <c r="A926" i="1"/>
  <c r="A925" i="1"/>
  <c r="E926" i="1"/>
  <c r="E925" i="1"/>
  <c r="A923" i="1"/>
  <c r="E923" i="1"/>
  <c r="A917" i="1"/>
  <c r="E917" i="1"/>
  <c r="A912" i="1"/>
  <c r="E912" i="1"/>
  <c r="A909" i="1"/>
  <c r="E909" i="1"/>
  <c r="A908" i="1"/>
  <c r="E908" i="1"/>
  <c r="A904" i="1"/>
  <c r="E904" i="1"/>
  <c r="A901" i="1"/>
  <c r="E901" i="1"/>
  <c r="A898" i="1"/>
  <c r="E898" i="1"/>
  <c r="A892" i="1"/>
  <c r="E892" i="1"/>
  <c r="A890" i="1"/>
  <c r="E890" i="1"/>
  <c r="A888" i="1"/>
  <c r="E888" i="1"/>
  <c r="A885" i="1"/>
  <c r="E885" i="1"/>
  <c r="A883" i="1"/>
  <c r="E883" i="1"/>
  <c r="A878" i="1"/>
  <c r="E878" i="1"/>
  <c r="A875" i="1"/>
  <c r="E875" i="1"/>
  <c r="A871" i="1"/>
  <c r="E871" i="1"/>
  <c r="A868" i="1"/>
  <c r="E868" i="1"/>
  <c r="A864" i="1"/>
  <c r="E864" i="1"/>
  <c r="A860" i="1"/>
  <c r="E860" i="1"/>
  <c r="A858" i="1"/>
  <c r="E858" i="1"/>
  <c r="A853" i="1"/>
  <c r="E853" i="1"/>
  <c r="A850" i="1"/>
  <c r="E850" i="1"/>
  <c r="A845" i="1"/>
  <c r="E845" i="1"/>
  <c r="A843" i="1"/>
  <c r="E843" i="1"/>
  <c r="A841" i="1"/>
  <c r="E841" i="1"/>
  <c r="A838" i="1"/>
  <c r="E838" i="1"/>
  <c r="A833" i="1"/>
  <c r="E833" i="1"/>
  <c r="A821" i="1"/>
  <c r="E821" i="1"/>
  <c r="A820" i="1"/>
  <c r="E820" i="1"/>
  <c r="A815" i="1"/>
  <c r="E815" i="1"/>
  <c r="A814" i="1"/>
  <c r="E814" i="1"/>
  <c r="A811" i="1"/>
  <c r="E811" i="1"/>
  <c r="A808" i="1"/>
  <c r="E808" i="1"/>
  <c r="A806" i="1"/>
  <c r="E806" i="1"/>
  <c r="A804" i="1"/>
  <c r="E804" i="1"/>
  <c r="A802" i="1"/>
  <c r="E802" i="1"/>
  <c r="A801" i="1"/>
  <c r="E801" i="1"/>
  <c r="A796" i="1"/>
  <c r="E796" i="1"/>
  <c r="A793" i="1"/>
  <c r="E793" i="1"/>
  <c r="A790" i="1"/>
  <c r="E790" i="1"/>
  <c r="A786" i="1"/>
  <c r="E786" i="1"/>
  <c r="A784" i="1"/>
  <c r="E784" i="1"/>
  <c r="A780" i="1"/>
  <c r="E780" i="1"/>
  <c r="A778" i="1"/>
  <c r="E778" i="1"/>
  <c r="A772" i="1"/>
  <c r="E772" i="1"/>
  <c r="A768" i="1"/>
  <c r="E768" i="1"/>
  <c r="A764" i="1"/>
  <c r="E764" i="1"/>
  <c r="A758" i="1"/>
  <c r="E758" i="1"/>
  <c r="A753" i="1"/>
  <c r="E753" i="1"/>
  <c r="A750" i="1"/>
  <c r="E750" i="1"/>
  <c r="A741" i="1"/>
  <c r="E741" i="1"/>
  <c r="A728" i="1"/>
  <c r="E728" i="1"/>
  <c r="A718" i="1"/>
  <c r="E718" i="1"/>
  <c r="A714" i="1"/>
  <c r="E714" i="1"/>
  <c r="A709" i="1"/>
  <c r="E709" i="1"/>
  <c r="A706" i="1"/>
  <c r="E706" i="1"/>
  <c r="A703" i="1"/>
  <c r="E703" i="1"/>
  <c r="A702" i="1"/>
  <c r="E702" i="1"/>
  <c r="A698" i="1"/>
  <c r="E698" i="1"/>
  <c r="A695" i="1"/>
  <c r="E695" i="1"/>
  <c r="A693" i="1"/>
  <c r="E693" i="1"/>
  <c r="A691" i="1"/>
  <c r="E691" i="1"/>
  <c r="A690" i="1"/>
  <c r="E690" i="1"/>
  <c r="A688" i="1"/>
  <c r="E688" i="1"/>
  <c r="A685" i="1"/>
  <c r="E685" i="1"/>
  <c r="A675" i="1"/>
  <c r="E675" i="1"/>
  <c r="A663" i="1"/>
  <c r="E663" i="1"/>
  <c r="A657" i="1"/>
  <c r="E657" i="1"/>
  <c r="A650" i="1"/>
  <c r="E650" i="1"/>
  <c r="A648" i="1"/>
  <c r="E648" i="1"/>
  <c r="A646" i="1"/>
  <c r="E646" i="1"/>
  <c r="A644" i="1"/>
  <c r="E644" i="1"/>
  <c r="A642" i="1"/>
  <c r="E642" i="1"/>
  <c r="A639" i="1"/>
  <c r="E639" i="1"/>
  <c r="A637" i="1"/>
  <c r="E637" i="1"/>
  <c r="A636" i="1"/>
  <c r="E636" i="1"/>
  <c r="A634" i="1"/>
  <c r="E634" i="1"/>
  <c r="A631" i="1"/>
  <c r="E631" i="1"/>
  <c r="A628" i="1"/>
  <c r="E628" i="1"/>
  <c r="A625" i="1"/>
  <c r="E625" i="1"/>
  <c r="A619" i="1"/>
  <c r="E619" i="1"/>
  <c r="A616" i="1"/>
  <c r="E616" i="1"/>
  <c r="A610" i="1"/>
  <c r="E610" i="1"/>
  <c r="A608" i="1"/>
  <c r="E608" i="1"/>
  <c r="A606" i="1"/>
  <c r="E606" i="1"/>
  <c r="A604" i="1"/>
  <c r="E604" i="1"/>
  <c r="A602" i="1"/>
  <c r="E602" i="1"/>
  <c r="A601" i="1"/>
  <c r="E601" i="1"/>
  <c r="A599" i="1"/>
  <c r="A596" i="1"/>
  <c r="E599" i="1"/>
  <c r="E596" i="1"/>
  <c r="A590" i="1"/>
  <c r="E590" i="1"/>
  <c r="A584" i="1"/>
  <c r="E584" i="1"/>
  <c r="A579" i="1"/>
  <c r="E579" i="1"/>
  <c r="A563" i="1"/>
  <c r="A577" i="1"/>
  <c r="E577" i="1"/>
  <c r="E563" i="1"/>
  <c r="A555" i="1"/>
  <c r="E555" i="1"/>
  <c r="A554" i="1"/>
  <c r="E554" i="1"/>
  <c r="A550" i="1"/>
  <c r="E550" i="1"/>
  <c r="A548" i="1"/>
  <c r="E548" i="1"/>
  <c r="A542" i="1"/>
  <c r="E542" i="1"/>
  <c r="A540" i="1"/>
  <c r="E540" i="1"/>
  <c r="A539" i="1"/>
  <c r="E539" i="1"/>
  <c r="A523" i="1"/>
  <c r="E523" i="1"/>
  <c r="A510" i="1"/>
  <c r="E510" i="1"/>
  <c r="A508" i="1"/>
  <c r="E508" i="1"/>
  <c r="A504" i="1"/>
  <c r="E504" i="1"/>
  <c r="A500" i="1"/>
  <c r="E500" i="1"/>
  <c r="A499" i="1"/>
  <c r="E499" i="1"/>
  <c r="A498" i="1"/>
  <c r="E498" i="1"/>
  <c r="A496" i="1"/>
  <c r="E496" i="1"/>
  <c r="E483" i="1"/>
  <c r="A493" i="1"/>
  <c r="A483" i="1"/>
  <c r="A480" i="1"/>
  <c r="A476" i="1"/>
  <c r="A473" i="1"/>
  <c r="A471" i="1"/>
  <c r="A468" i="1"/>
  <c r="A466" i="1"/>
  <c r="A464" i="1"/>
  <c r="A462" i="1"/>
  <c r="A460" i="1"/>
  <c r="A455" i="1"/>
  <c r="A452" i="1"/>
  <c r="A451" i="1"/>
  <c r="A449" i="1"/>
  <c r="A446" i="1"/>
  <c r="A444" i="1"/>
  <c r="A442" i="1"/>
  <c r="A440" i="1"/>
  <c r="A436" i="1"/>
  <c r="A433" i="1"/>
  <c r="A425" i="1"/>
  <c r="A421" i="1"/>
  <c r="A415" i="1"/>
  <c r="A409" i="1"/>
  <c r="A403" i="1"/>
  <c r="A401" i="1"/>
  <c r="A400" i="1"/>
  <c r="A398" i="1"/>
  <c r="A395" i="1"/>
  <c r="A392" i="1"/>
  <c r="A389" i="1"/>
  <c r="A381" i="1"/>
  <c r="A376" i="1"/>
  <c r="A374" i="1"/>
  <c r="A372" i="1"/>
  <c r="A370" i="1"/>
  <c r="A368" i="1"/>
  <c r="A364" i="1"/>
  <c r="A350" i="1"/>
  <c r="A346" i="1"/>
  <c r="A344" i="1"/>
  <c r="A342" i="1"/>
  <c r="A331" i="1"/>
  <c r="A327" i="1"/>
  <c r="A322" i="1"/>
  <c r="A318" i="1"/>
  <c r="A313" i="1"/>
  <c r="A310" i="1"/>
  <c r="A308" i="1"/>
  <c r="A306" i="1"/>
  <c r="A304" i="1"/>
  <c r="A300" i="1"/>
  <c r="A294" i="1"/>
  <c r="A292" i="1"/>
  <c r="A288" i="1"/>
  <c r="A287" i="1"/>
  <c r="A285" i="1"/>
  <c r="A283" i="1"/>
  <c r="A280" i="1"/>
  <c r="A275" i="1"/>
  <c r="A272" i="1"/>
  <c r="A265" i="1"/>
  <c r="A262" i="1"/>
  <c r="A261" i="1"/>
  <c r="A256" i="1"/>
  <c r="A253" i="1"/>
  <c r="A245" i="1"/>
  <c r="A242" i="1"/>
  <c r="A240" i="1"/>
  <c r="A238" i="1"/>
  <c r="A232" i="1"/>
  <c r="A221" i="1"/>
  <c r="A218" i="1"/>
  <c r="A216" i="1"/>
  <c r="A214" i="1"/>
  <c r="A212" i="1"/>
  <c r="A210" i="1"/>
  <c r="A202" i="1"/>
  <c r="A201" i="1"/>
  <c r="A199" i="1"/>
  <c r="A198" i="1"/>
  <c r="A195" i="1"/>
  <c r="A190" i="1"/>
  <c r="A189" i="1"/>
  <c r="A187" i="1"/>
  <c r="A185" i="1"/>
  <c r="A181" i="1"/>
  <c r="A175" i="1"/>
  <c r="A171" i="1"/>
  <c r="A169" i="1"/>
  <c r="A167" i="1"/>
  <c r="A160" i="1"/>
  <c r="A157" i="1"/>
  <c r="A152" i="1"/>
  <c r="A149" i="1"/>
  <c r="A147" i="1"/>
  <c r="A145" i="1"/>
  <c r="A142" i="1"/>
  <c r="A140" i="1"/>
  <c r="A136" i="1"/>
  <c r="A133" i="1"/>
  <c r="A131" i="1"/>
  <c r="A125" i="1"/>
  <c r="A122" i="1"/>
  <c r="A119" i="1"/>
  <c r="A116" i="1"/>
  <c r="A112" i="1"/>
  <c r="A110" i="1"/>
  <c r="A108" i="1"/>
  <c r="A106" i="1"/>
  <c r="A105" i="1"/>
  <c r="A102" i="1"/>
  <c r="A98" i="1"/>
  <c r="A85" i="1"/>
  <c r="A82" i="1"/>
  <c r="A80" i="1"/>
  <c r="A78" i="1"/>
  <c r="A74" i="1"/>
  <c r="A70" i="1"/>
  <c r="A65" i="1"/>
  <c r="A59" i="1"/>
  <c r="A58" i="1"/>
  <c r="A51" i="1"/>
  <c r="A49" i="1"/>
  <c r="A43" i="1"/>
  <c r="A30" i="1"/>
  <c r="A27" i="1"/>
  <c r="A23" i="1"/>
  <c r="A21" i="1"/>
  <c r="A19" i="1"/>
  <c r="A14" i="1"/>
  <c r="A7" i="1"/>
  <c r="A11" i="1"/>
  <c r="E493" i="1"/>
</calcChain>
</file>

<file path=xl/sharedStrings.xml><?xml version="1.0" encoding="utf-8"?>
<sst xmlns="http://schemas.openxmlformats.org/spreadsheetml/2006/main" count="5741" uniqueCount="2063">
  <si>
    <t>Dzień</t>
  </si>
  <si>
    <t>Miesiąc</t>
  </si>
  <si>
    <t>Rok</t>
  </si>
  <si>
    <t>Kto</t>
  </si>
  <si>
    <t>Z kim</t>
  </si>
  <si>
    <t>Osoby powiązane</t>
  </si>
  <si>
    <t>Temat sprawy</t>
  </si>
  <si>
    <t>Strona</t>
  </si>
  <si>
    <t>Skan</t>
  </si>
  <si>
    <t>Zeznania</t>
  </si>
  <si>
    <t>Andrzej Kruzlak</t>
  </si>
  <si>
    <t>Zwrot długu</t>
  </si>
  <si>
    <t>Zerkowska</t>
  </si>
  <si>
    <t>Obelga</t>
  </si>
  <si>
    <t>Jozephus Noskowicz</t>
  </si>
  <si>
    <t>Oskarżenie</t>
  </si>
  <si>
    <t>Jan Dziedzicowic</t>
  </si>
  <si>
    <t>Alexander Michalski</t>
  </si>
  <si>
    <t>ID</t>
  </si>
  <si>
    <t>Charakter wpisu</t>
  </si>
  <si>
    <t>Protestacja</t>
  </si>
  <si>
    <t>Sprzedaż ziemi</t>
  </si>
  <si>
    <t>Magstrat Sądu Zobopolnego</t>
  </si>
  <si>
    <t>Stanislaus Muszenski</t>
  </si>
  <si>
    <t>Franciscus Lubicki</t>
  </si>
  <si>
    <t>Stan społeczny</t>
  </si>
  <si>
    <t>Leyzor Isakowicz</t>
  </si>
  <si>
    <t>Honestus</t>
  </si>
  <si>
    <t>Joannes Sempeter</t>
  </si>
  <si>
    <t>Laboriosus</t>
  </si>
  <si>
    <t>Casimirus Poborski</t>
  </si>
  <si>
    <t>Honesta</t>
  </si>
  <si>
    <t>Dziedzicowicz</t>
  </si>
  <si>
    <t>Agnes Pęgowska</t>
  </si>
  <si>
    <t>Teresa Dziedzicowicowa</t>
  </si>
  <si>
    <t>Laboriosa</t>
  </si>
  <si>
    <t>Joannes Dziedzicowicz</t>
  </si>
  <si>
    <t>Stephanus Sierawski</t>
  </si>
  <si>
    <t>Pobicie żony</t>
  </si>
  <si>
    <t>Pauli Poborski</t>
  </si>
  <si>
    <t>Uwagi</t>
  </si>
  <si>
    <t>Zawód</t>
  </si>
  <si>
    <t>Sophia Puskarzowa</t>
  </si>
  <si>
    <t>Słudzyna Woytowska</t>
  </si>
  <si>
    <t>Kazimierz Sowiński</t>
  </si>
  <si>
    <t>Achrchimagistro Pelliciorum</t>
  </si>
  <si>
    <t>Brat kunsztu skórzanego</t>
  </si>
  <si>
    <t>Abraam Jozefowicz</t>
  </si>
  <si>
    <t>Barbara Misiewiczowa</t>
  </si>
  <si>
    <t>Mieszczka bocheńska</t>
  </si>
  <si>
    <t>Tomasz Misiewicz</t>
  </si>
  <si>
    <t>Kotca</t>
  </si>
  <si>
    <t>Obywatelka miasta Wiśnicza</t>
  </si>
  <si>
    <t>Dekret</t>
  </si>
  <si>
    <t>Przekupka</t>
  </si>
  <si>
    <t>Conegunda Pęgowszcianka</t>
  </si>
  <si>
    <t>Muszenski</t>
  </si>
  <si>
    <t>Franciszek Lubicki</t>
  </si>
  <si>
    <t>Marcin Samkowic</t>
  </si>
  <si>
    <t>Michalski</t>
  </si>
  <si>
    <t>Sierawski</t>
  </si>
  <si>
    <t>Dodatkowe okoliczności</t>
  </si>
  <si>
    <t>Wtargnięcie do domu w celu zemsta za pobicie żony, eskalacja do bijatyki z użyciem grubego kija, oskarżenie chłopców o złodziejstwo</t>
  </si>
  <si>
    <t>Franciscus Michałkiewicz</t>
  </si>
  <si>
    <t>Woyciech Rogozowicz</t>
  </si>
  <si>
    <t>Kowalczyk Woyciecha Rogozowicza</t>
  </si>
  <si>
    <t>Wstąpił na piwo do p. Muszenskiego</t>
  </si>
  <si>
    <t xml:space="preserve">Grał w karty u Muszenskiego z Franciszkiem Michałkiewiczem i kowalczykiem Rogozowicza </t>
  </si>
  <si>
    <t>Chłopiec Michalskiego</t>
  </si>
  <si>
    <t>Chłopiec Lubickiego</t>
  </si>
  <si>
    <t>Grali razem w karty, gdy zostali odrzucenia przez powyższych</t>
  </si>
  <si>
    <t>Teresua Zatorszczanka</t>
  </si>
  <si>
    <t>Służebnica P. Muszenskiego</t>
  </si>
  <si>
    <t>Andreas Kochankowicz</t>
  </si>
  <si>
    <t>Sasi ukradli mu krowę w trakcie Inkursyi Saski</t>
  </si>
  <si>
    <t>Józef Piątkowicz</t>
  </si>
  <si>
    <t>Sasi ukradli mu słód w trakcie Inkursyi Saski</t>
  </si>
  <si>
    <t>Dawid</t>
  </si>
  <si>
    <t>Piątkowicz szukał u niego skradzionego słodu</t>
  </si>
  <si>
    <t>Odzyskanie skradzionego mienia</t>
  </si>
  <si>
    <t>Ma brata</t>
  </si>
  <si>
    <t>Dziedzicowiczowa</t>
  </si>
  <si>
    <t>Wyzywanie od złodziei, wypinanie gołego zadla przez p. Dziedzicowiczową</t>
  </si>
  <si>
    <t>Agneszka Zerkowska</t>
  </si>
  <si>
    <t>Dylacja</t>
  </si>
  <si>
    <t>Jozef Noskowicz</t>
  </si>
  <si>
    <t>Odwołanie na świadków</t>
  </si>
  <si>
    <t>Jan Dziedzicowicz</t>
  </si>
  <si>
    <t>Małżonka Dziedzicowicza</t>
  </si>
  <si>
    <t>Małżonka Noskowicza</t>
  </si>
  <si>
    <t>Syn Dziedzicowicza</t>
  </si>
  <si>
    <t>Dziecięcia Noskowicza</t>
  </si>
  <si>
    <t>Odpowiedzialny za kalumnię, wrzucił piach w oczy dziecka Noskowicza i zuzelicami w Noskowiczową</t>
  </si>
  <si>
    <t>Andreas Reisz</t>
  </si>
  <si>
    <t>Bartłomiej Gawlikowski</t>
  </si>
  <si>
    <t>Magister Ciesielski</t>
  </si>
  <si>
    <t>Żydzi</t>
  </si>
  <si>
    <t>Odwołanie do urzędnika państwowego</t>
  </si>
  <si>
    <t>Odwołanie do Ekonoma lub Gubernatora z racji nieprzynależności Żydów do Sądu Zobopolnego</t>
  </si>
  <si>
    <t>Sophia Sowienska</t>
  </si>
  <si>
    <t>Lubicki</t>
  </si>
  <si>
    <t>Marcin Rybałtowicz</t>
  </si>
  <si>
    <t>Ryncarzowicz</t>
  </si>
  <si>
    <t>Famatus</t>
  </si>
  <si>
    <t>Famata</t>
  </si>
  <si>
    <t>Jacobi Noskowicz</t>
  </si>
  <si>
    <t>Thomas Karbownik</t>
  </si>
  <si>
    <t>Z Połomi</t>
  </si>
  <si>
    <t>Pobicie</t>
  </si>
  <si>
    <t>Dominik Woyciechowski</t>
  </si>
  <si>
    <t>Jego budynek był na ulicy Bocheńskiej</t>
  </si>
  <si>
    <t>Jego dom stał naprzeciw tyłu domu Noskowicza</t>
  </si>
  <si>
    <t>Igantius Borkowski</t>
  </si>
  <si>
    <t>Agnes Koziałkowicz</t>
  </si>
  <si>
    <t>Brakujące kije</t>
  </si>
  <si>
    <t>Odroczenie sprawy do czasu znalezienia nowych świadków</t>
  </si>
  <si>
    <t>JWI Pan Jozef Czerny</t>
  </si>
  <si>
    <t>Kasztelan Sandecki</t>
  </si>
  <si>
    <t>Anna Prętkiewiczowa</t>
  </si>
  <si>
    <t>Mieszczka wiśnicka</t>
  </si>
  <si>
    <t>Mleczko</t>
  </si>
  <si>
    <t>Piotr Rogozowicz</t>
  </si>
  <si>
    <t>Sukno zatrzymane w Brzesku</t>
  </si>
  <si>
    <t>Josephus Noskowicz</t>
  </si>
  <si>
    <t>Jan Pęgowski</t>
  </si>
  <si>
    <t>Walenty Gibalski</t>
  </si>
  <si>
    <t>Mieszczanin wiśnicki</t>
  </si>
  <si>
    <t>Nieuznanie dekretu</t>
  </si>
  <si>
    <t>Zadośćuczynienie za stratę</t>
  </si>
  <si>
    <t>Jakub Noskowicz</t>
  </si>
  <si>
    <t>Radca miejski</t>
  </si>
  <si>
    <t>Zaginione sosny</t>
  </si>
  <si>
    <t>Woyciechowski postawił budynek z użyciem drewna Noskowicz, bo lezało na jednej kupie pod parchanem Noskowicza</t>
  </si>
  <si>
    <t>Józef Noskowicz</t>
  </si>
  <si>
    <t>Wymuszenie przez sąd wykonania postanowień dekretu</t>
  </si>
  <si>
    <t>Panowie trafili do więzienia do czasu wykonania dekretu i pogodzenia się</t>
  </si>
  <si>
    <t>Małżonka Woyciechowskiego</t>
  </si>
  <si>
    <t>Razem z mężem lżyła na ulicach Noskowicza</t>
  </si>
  <si>
    <t>Blasy Ziebienski</t>
  </si>
  <si>
    <t>Uxoris ejus</t>
  </si>
  <si>
    <t>Joannes Łapczynski</t>
  </si>
  <si>
    <t>Mularczyk</t>
  </si>
  <si>
    <t>Michałkowicz</t>
  </si>
  <si>
    <t>Ten, co pojechał do Krakowa</t>
  </si>
  <si>
    <t>Dukatowicz</t>
  </si>
  <si>
    <t>Barbara Nawzotowna</t>
  </si>
  <si>
    <t>Służebnica P. Reiszowey</t>
  </si>
  <si>
    <t>Sophia Paydakowna</t>
  </si>
  <si>
    <t>Sługa P. Ziebieńskiego</t>
  </si>
  <si>
    <t>Franciszek Michałkowicz</t>
  </si>
  <si>
    <t>Sosnicka</t>
  </si>
  <si>
    <t>Wyzywanie od czarownic</t>
  </si>
  <si>
    <t>Jozephus Gniadkowicz</t>
  </si>
  <si>
    <t>Szedł z Browaru, wstąpił do Dukatowicza</t>
  </si>
  <si>
    <t>Stanisław Michałkowicz</t>
  </si>
  <si>
    <t>Tomasz Ziebienski</t>
  </si>
  <si>
    <t>Ofiara pobicia przez Stanisława Michałkowicza</t>
  </si>
  <si>
    <t>Rymarczyk od P. Kotcego</t>
  </si>
  <si>
    <t>Pobił rymarczyka i Tomasza Ziebienskiego</t>
  </si>
  <si>
    <t>Obelga, pobicie</t>
  </si>
  <si>
    <t>Błazej Ziebienski</t>
  </si>
  <si>
    <t>Małżonka Ziebieńskiego</t>
  </si>
  <si>
    <t>Barbara Michałkowiczowa</t>
  </si>
  <si>
    <t>Synowie Michałkowiczowej</t>
  </si>
  <si>
    <t>Dylatacja do przyszłego piątku, by Michałkowiczowa stawiła się z synami</t>
  </si>
  <si>
    <t>Józef Gniadkiewicz</t>
  </si>
  <si>
    <t>Małżonka Gniadkiewicza</t>
  </si>
  <si>
    <t>Najstarszy syn jest w Krakowie, ma tydzień na powrót</t>
  </si>
  <si>
    <t>Jan Zerkiwski</t>
  </si>
  <si>
    <t>Łukasz</t>
  </si>
  <si>
    <t>Sługa Radziecki</t>
  </si>
  <si>
    <t>Josephus Szczepankowicz</t>
  </si>
  <si>
    <t>Kwitowanie</t>
  </si>
  <si>
    <t>Antoni Suski</t>
  </si>
  <si>
    <t>Ksiądz Proboszcz</t>
  </si>
  <si>
    <t>Józef Reisz</t>
  </si>
  <si>
    <t>Kwitowanie z 14.09.1724</t>
  </si>
  <si>
    <t>Protestacja, obdukcja</t>
  </si>
  <si>
    <t>Joannes Niedzwiecki</t>
  </si>
  <si>
    <t>Casimirus Sowienski</t>
  </si>
  <si>
    <t>Żyd Jarosławski alias Czapnik</t>
  </si>
  <si>
    <t>Małżonka Niedzwieckiego</t>
  </si>
  <si>
    <t>Ogłoszenie</t>
  </si>
  <si>
    <t>Wybór wójta</t>
  </si>
  <si>
    <t>Thoma Fabricy</t>
  </si>
  <si>
    <t>Michaelis Obertynski</t>
  </si>
  <si>
    <t>Jan Sierawski</t>
  </si>
  <si>
    <t>Podpis</t>
  </si>
  <si>
    <t>Ziebienski</t>
  </si>
  <si>
    <t>Małżonka Ziebienskiego</t>
  </si>
  <si>
    <t>Józef Szczepankowicz</t>
  </si>
  <si>
    <t>Restrykcja na szynkowanie mazi</t>
  </si>
  <si>
    <t>Jacobi Dęmblinski</t>
  </si>
  <si>
    <t>Arendarz</t>
  </si>
  <si>
    <t>Stanislaus Romanski</t>
  </si>
  <si>
    <t>Sąsiad Zerkowskiego</t>
  </si>
  <si>
    <t>Thomas Bulowicz</t>
  </si>
  <si>
    <t>Agnetis Sowienska</t>
  </si>
  <si>
    <t>Jakubowa Gocowiczowa</t>
  </si>
  <si>
    <t>Agnieszka Skalszczanka</t>
  </si>
  <si>
    <t>Lazowski</t>
  </si>
  <si>
    <t>alias Janoskowina</t>
  </si>
  <si>
    <t>Franciszkowa Fernecka</t>
  </si>
  <si>
    <t>Obyś sto tysięcy diabłów zjadła</t>
  </si>
  <si>
    <t>Tomasz Bulowicz</t>
  </si>
  <si>
    <t>Szymon Janicki</t>
  </si>
  <si>
    <t>Dochodzenie długu</t>
  </si>
  <si>
    <t>Michaelis Baranowski</t>
  </si>
  <si>
    <t>Jacob Kulizowicz</t>
  </si>
  <si>
    <t>Gizicki</t>
  </si>
  <si>
    <t>Wyzwany od chłopów ze wsi</t>
  </si>
  <si>
    <t>Blasy Gizicki</t>
  </si>
  <si>
    <t>Martinus Woycieszko</t>
  </si>
  <si>
    <t>Baranowski</t>
  </si>
  <si>
    <t>Zerkowski</t>
  </si>
  <si>
    <t>Obelga, zabicie wieprzka</t>
  </si>
  <si>
    <t>Michał Baranowski</t>
  </si>
  <si>
    <t>Błazej Gizicki</t>
  </si>
  <si>
    <t>Zadanie szkody, zabicie wieprzka</t>
  </si>
  <si>
    <t>Casimirus Grzegorzkowicz</t>
  </si>
  <si>
    <t>Petrus Skorczenski</t>
  </si>
  <si>
    <t>Bednarz</t>
  </si>
  <si>
    <t>Skarga</t>
  </si>
  <si>
    <t>Zelman</t>
  </si>
  <si>
    <t>Zelman żądał naprawy zakupionej kufy. Złożył skargę do cechu kowalskiego</t>
  </si>
  <si>
    <t>Kazimierz Grzegorzkowicz</t>
  </si>
  <si>
    <t>Powołanie świadków</t>
  </si>
  <si>
    <t>Joannes Saliszowski</t>
  </si>
  <si>
    <t>Kazimierz Sowienski</t>
  </si>
  <si>
    <t>Małżonka Sowienskiego</t>
  </si>
  <si>
    <t>Skalszczanka po pijaku pobiła w karczmie Sowienskiego z żoną</t>
  </si>
  <si>
    <t>Student krakowski</t>
  </si>
  <si>
    <t>Obraza, pobicie</t>
  </si>
  <si>
    <t>Karczmarz</t>
  </si>
  <si>
    <t>Syn Ziebienskiego</t>
  </si>
  <si>
    <t>Stanisław Michałkiewicz nie pojawił się jako świadek. Pobity został syn Ziebienskiego i matka, która stanęła w jego obronie. Po pijaku w karczmie.</t>
  </si>
  <si>
    <t>Jan Paiączkowski</t>
  </si>
  <si>
    <t>Jędrzej Reisz</t>
  </si>
  <si>
    <t>Oskarżenie o kradzież</t>
  </si>
  <si>
    <t>Barbara</t>
  </si>
  <si>
    <t>Dziewka Reiszowa</t>
  </si>
  <si>
    <t>Jospehus Radaszowski</t>
  </si>
  <si>
    <t>Palarz u Zelmana</t>
  </si>
  <si>
    <t>Grzegorzkowicz</t>
  </si>
  <si>
    <t>Dochodzenie szkody</t>
  </si>
  <si>
    <t>Laurentius Ksiązkowicz</t>
  </si>
  <si>
    <t>Joannes Trybulski</t>
  </si>
  <si>
    <t>Kowal cechowy</t>
  </si>
  <si>
    <t>Sprawdzał szkodę w imieniu cechu</t>
  </si>
  <si>
    <t>Bartholomeus Wiewiorski</t>
  </si>
  <si>
    <t>Jacobus Burdel</t>
  </si>
  <si>
    <t>Zelman Peysechowicz</t>
  </si>
  <si>
    <t>Bartolomeus Lonarski</t>
  </si>
  <si>
    <t>Rzemieślnik z cechu kuśnierskiego</t>
  </si>
  <si>
    <t>Joannis Raycyk</t>
  </si>
  <si>
    <t>Sophia Lukaszowska</t>
  </si>
  <si>
    <t>Romanski</t>
  </si>
  <si>
    <t>stawiał piec Romanskiemu</t>
  </si>
  <si>
    <t>Uliaszkowicz młody</t>
  </si>
  <si>
    <t>Jan Raycyk</t>
  </si>
  <si>
    <t>Krzysztof</t>
  </si>
  <si>
    <t>Młynarz Olchawski</t>
  </si>
  <si>
    <t>Tomasz Uliaszkowicz</t>
  </si>
  <si>
    <t>Piotr Skorczenski</t>
  </si>
  <si>
    <t>Zięć Skorczenskiego</t>
  </si>
  <si>
    <t>Spór o kupno</t>
  </si>
  <si>
    <t>Apelacja</t>
  </si>
  <si>
    <t>Agnieszka Żerkowska</t>
  </si>
  <si>
    <t>Michał Obertynski</t>
  </si>
  <si>
    <t>Łowczy Podlaski, Gubernator Wiśnicki</t>
  </si>
  <si>
    <t>Otaksowanie majątku</t>
  </si>
  <si>
    <t>Maciej Rudkiewicz</t>
  </si>
  <si>
    <t>Szymon Fernecki</t>
  </si>
  <si>
    <t>Mikołaj Mszanacki</t>
  </si>
  <si>
    <t>Pawłowa Piętkiewiczowa</t>
  </si>
  <si>
    <t>Sprzedanie zastawu</t>
  </si>
  <si>
    <t>Jan Sowinski</t>
  </si>
  <si>
    <t>Zagrożenie ogniowe</t>
  </si>
  <si>
    <t>Jan Brejer</t>
  </si>
  <si>
    <t>Kupiec</t>
  </si>
  <si>
    <t>Obywatel krakowski</t>
  </si>
  <si>
    <t>Stanisław Romanski</t>
  </si>
  <si>
    <t>Obywatel i mieszczanin wiśnicki</t>
  </si>
  <si>
    <t>Rękojmia</t>
  </si>
  <si>
    <t>Andrzej Pęgowski</t>
  </si>
  <si>
    <t>Czeladnik Jana Brejera</t>
  </si>
  <si>
    <t>Joannes Pęgowski</t>
  </si>
  <si>
    <t>Joannes Brejer</t>
  </si>
  <si>
    <t>Zakrystian wiśnicki</t>
  </si>
  <si>
    <t>Niezadowolenie dekretem</t>
  </si>
  <si>
    <t>Regina Reiszowa</t>
  </si>
  <si>
    <t>Woytowa przeszła</t>
  </si>
  <si>
    <t>Jadwiga Szlamska</t>
  </si>
  <si>
    <t>Mieszczka wieliczka, siostrzenica S.P. Stanisława Reisza</t>
  </si>
  <si>
    <t>Uregulowanie długu</t>
  </si>
  <si>
    <t>Adalberti Rogozowicz</t>
  </si>
  <si>
    <t>Józef Nowakowicz</t>
  </si>
  <si>
    <t>Brat cechu kowalskiego z Wiśnicza, nieboszczyk</t>
  </si>
  <si>
    <t>Koziałkowicz</t>
  </si>
  <si>
    <t>Spór o kowadło</t>
  </si>
  <si>
    <t>Agnes Ryncarzowiczowa</t>
  </si>
  <si>
    <t>Casimirus Dukatowicz</t>
  </si>
  <si>
    <t>Dochodzenie szkody, oskarżenie o kradziez</t>
  </si>
  <si>
    <t>Blasius Ziebienski</t>
  </si>
  <si>
    <t>Zelek Szczerbowicz</t>
  </si>
  <si>
    <t>Jakubek Kramarz</t>
  </si>
  <si>
    <t>Dawid Simonowicz</t>
  </si>
  <si>
    <t>Introligator</t>
  </si>
  <si>
    <t>Obywatel Starego Wiśnicza, terażniejszy rezydent Chantowski</t>
  </si>
  <si>
    <t>Nobilus</t>
  </si>
  <si>
    <t>Nobila</t>
  </si>
  <si>
    <t>Kasztelanowa Sandecka</t>
  </si>
  <si>
    <t>Spłazowany na drodze do Dobrzyc</t>
  </si>
  <si>
    <t>Próba zabójstwa</t>
  </si>
  <si>
    <t>Kociałkowicz</t>
  </si>
  <si>
    <t>Woyciech Koziałkowicz</t>
  </si>
  <si>
    <t>Cechmistrz kowalski</t>
  </si>
  <si>
    <t>Casimirus Koziałkowicz</t>
  </si>
  <si>
    <t>Arcymistrz cechu kowalskiego</t>
  </si>
  <si>
    <t>Niewianowska</t>
  </si>
  <si>
    <t>Bartholomeus Lonarski</t>
  </si>
  <si>
    <t>Gibalski</t>
  </si>
  <si>
    <t>Jan Trybulski</t>
  </si>
  <si>
    <t>Po pożarze zamieszkał u Jana Trybulskiego</t>
  </si>
  <si>
    <t>Oskarżył Koziałkowicza o kradzież kowadła, Rogozowicza o współudział</t>
  </si>
  <si>
    <t>Małżonka Rogozowicza</t>
  </si>
  <si>
    <t>Thomas Paskowicz</t>
  </si>
  <si>
    <t>Stanisław Sierawski</t>
  </si>
  <si>
    <t>Marcin Ryntarzowicz</t>
  </si>
  <si>
    <t>Stanisław Muszenski</t>
  </si>
  <si>
    <t>Spór o kowadło. Oskarżenie Koziałkowicza o kradzież i spuszczenie w studni o czym miał wiedzieć Wojciech Rogozowicz, arcymistrz cechu kowalskiego</t>
  </si>
  <si>
    <t>Jacobus Noskowicz</t>
  </si>
  <si>
    <t>Consul Neovisnicensis</t>
  </si>
  <si>
    <t>Janowa Trybulska</t>
  </si>
  <si>
    <t>Siostra Ryniarzowiczowa, skarzyła na brata, który po piajku groził, że ich spali</t>
  </si>
  <si>
    <t>Dawid Dobrzycki</t>
  </si>
  <si>
    <t>Bartłomiej Lonarski</t>
  </si>
  <si>
    <t>Oskarżył Trybulskiego o kradzież kowadła i spuszczenie w studni</t>
  </si>
  <si>
    <t>Casimirus Piotrowicz</t>
  </si>
  <si>
    <t>Infidelis</t>
  </si>
  <si>
    <t>Infidelia</t>
  </si>
  <si>
    <t>Cechmistrz Kowalski</t>
  </si>
  <si>
    <t>Kazimierz Koziałkowicz</t>
  </si>
  <si>
    <t>Wyznaczenie terminu rozprawy</t>
  </si>
  <si>
    <t>Contumax</t>
  </si>
  <si>
    <t>Joannes Raycyk</t>
  </si>
  <si>
    <t>Laurenty Ksiązkowicz</t>
  </si>
  <si>
    <t>Brat cechu kowalskiego</t>
  </si>
  <si>
    <t>Woyciech Rogozowicz, będąc prymasem cechu kowalskiego, wiedząc o kowadle pańskim u Trybulskiego nie oznajmił o tym zwierzchności, wiedząc o rzeczach ginących braci cechowej</t>
  </si>
  <si>
    <t>Ryncarzowiczowa</t>
  </si>
  <si>
    <t>Zięć Ryncarzowiczowej</t>
  </si>
  <si>
    <t>Trybulski</t>
  </si>
  <si>
    <t>Joannes Korczenski</t>
  </si>
  <si>
    <t>Valentinus Tobiasik</t>
  </si>
  <si>
    <t>Oskarżony przez Ryncarzowica o trącanie młotkiem na skradzionym kowadle</t>
  </si>
  <si>
    <t>Matka żony Trybulskiego</t>
  </si>
  <si>
    <t>Jan Trybulski odpowiedzialny za niepoinformowanie zwierzchności o kowadle, gdy wiedział o znikających przedmiotach z cechu</t>
  </si>
  <si>
    <t>Joannes Sierawski</t>
  </si>
  <si>
    <t>Advocatus nunetensporis Neovisnicensis</t>
  </si>
  <si>
    <t>Joannes Jęczmykowicz</t>
  </si>
  <si>
    <t>Zaproszony na wesele Pani Sosnickiej</t>
  </si>
  <si>
    <t>Małżonka Sierawskiego</t>
  </si>
  <si>
    <t>Posłana na wesele</t>
  </si>
  <si>
    <t>Syn Sierawskiego</t>
  </si>
  <si>
    <t>Oskarżenie o spłodzenie bękarta</t>
  </si>
  <si>
    <t>Posłany na wesele, oskarżony o ucieczkę z Wiśnicza po spłodzeniu dziecka</t>
  </si>
  <si>
    <t>Inquisitio</t>
  </si>
  <si>
    <t>Adalberti Skibka</t>
  </si>
  <si>
    <t>Ze wsi Klimontów</t>
  </si>
  <si>
    <t>Sługa, parobek w kamienicy w Krakowie u Sławetnego Imci Pana Węgrzynowicza</t>
  </si>
  <si>
    <t>Mathyas Miszkowicz</t>
  </si>
  <si>
    <t>Budowa na pogorzelisku</t>
  </si>
  <si>
    <t>Rękojmia z 24.07.1724</t>
  </si>
  <si>
    <t>Thomasz Brodecki</t>
  </si>
  <si>
    <t>Wawrzyniec Ksiąszkowicz</t>
  </si>
  <si>
    <t>Niepiśmienny</t>
  </si>
  <si>
    <t>Jan Zerkowski</t>
  </si>
  <si>
    <t>Małżonka Zerkowskiego</t>
  </si>
  <si>
    <t>Jakub Dęmbinski</t>
  </si>
  <si>
    <t>Arendarz Prowenentów Podzameckich</t>
  </si>
  <si>
    <t>Tomasz Brodecki</t>
  </si>
  <si>
    <t>Wspólnik Zerkowskich</t>
  </si>
  <si>
    <t>Jan Rudziewicz</t>
  </si>
  <si>
    <t>Nieboszczyk, wspólnik Zerkowskich</t>
  </si>
  <si>
    <t>Zerkowscy robili piwo w 1722, 1723. Pożar w 1724</t>
  </si>
  <si>
    <t>Spór o podatek za robienie piwa i palenie gorzałki</t>
  </si>
  <si>
    <t>Regina Ziebienska</t>
  </si>
  <si>
    <t>Gumułszczanski</t>
  </si>
  <si>
    <t>Stanisław Reysz</t>
  </si>
  <si>
    <t>Nieboszczyk</t>
  </si>
  <si>
    <t>Targ kradzionego konia</t>
  </si>
  <si>
    <t>Wydarzenia sprzed trzech lat</t>
  </si>
  <si>
    <t>Józef Gumuł(czen)ski</t>
  </si>
  <si>
    <t>Woytowa przeszła Wiśnicka, wdowa po Stanisławie Reyszu</t>
  </si>
  <si>
    <t>Kupił konia u Stanisława Reysza trzy lata temu</t>
  </si>
  <si>
    <t>Kotkowski</t>
  </si>
  <si>
    <t>Andrzey Reisz</t>
  </si>
  <si>
    <t>Pierworodny Stanisława, pasierb Reginy, egezektuor testamentu</t>
  </si>
  <si>
    <t>Józef Goc</t>
  </si>
  <si>
    <t>Ze wsi Królówka, poddany</t>
  </si>
  <si>
    <t>Andrzej Reisz</t>
  </si>
  <si>
    <t>Obywatel Wiśnicki</t>
  </si>
  <si>
    <t>Goc legował mu dług</t>
  </si>
  <si>
    <t>Kiepska sytuacja materialna wodwy powodem łaskawego wyroku</t>
  </si>
  <si>
    <t>Słowa klucze</t>
  </si>
  <si>
    <t>Agnieszka Rudkiewiczowa Paczeńska</t>
  </si>
  <si>
    <t>Macocha</t>
  </si>
  <si>
    <t>Franciszek Rudkiewicz</t>
  </si>
  <si>
    <t>Pasierb</t>
  </si>
  <si>
    <t>Pasierb, macocha, dług</t>
  </si>
  <si>
    <t>Archimagister Pellicerum</t>
  </si>
  <si>
    <t>Marek Jakubowicz</t>
  </si>
  <si>
    <t>Josephus Jarosławski</t>
  </si>
  <si>
    <t>Bogusław Romanski</t>
  </si>
  <si>
    <t>Syn Stanisława Romanskiego</t>
  </si>
  <si>
    <t>Konflikt o blizszość do pieczy i nauki rzemiosła nad dzieckiem</t>
  </si>
  <si>
    <t>Brat kunsztu bednarskiego</t>
  </si>
  <si>
    <t>Rzemiosło, opieka, kształcenie, karczma, pogwałcenie porządku społecznego</t>
  </si>
  <si>
    <t>Joannes Sowienski</t>
  </si>
  <si>
    <t>Siostra Jana Sowienskiego</t>
  </si>
  <si>
    <t>Woyciech Skibka</t>
  </si>
  <si>
    <t>Cieśla Michalskiego</t>
  </si>
  <si>
    <t>Syn Barbabry Michałkowiczowej</t>
  </si>
  <si>
    <t>Suknia, plotka, rzemieślnik, cieśla</t>
  </si>
  <si>
    <t>Plenipotent Woyciecha Skibki</t>
  </si>
  <si>
    <t>Pożyczył w Krakowie suknię Woyciecha</t>
  </si>
  <si>
    <t>Zwrot własności</t>
  </si>
  <si>
    <t>Suknia, plotka, rzemieślnik, cieśla, Kraków, pożyczka, brak świadków</t>
  </si>
  <si>
    <t>Niewywiązanie się z dekretu</t>
  </si>
  <si>
    <t>Thomas Kozlik</t>
  </si>
  <si>
    <t>Młynarczyk'</t>
  </si>
  <si>
    <t>Adalbertum Żurek</t>
  </si>
  <si>
    <t>Casimirus Gorpelowicz</t>
  </si>
  <si>
    <t>Upicie się, pobicie, kije, Żydzi, karczma, nieuzasadniona przemoc</t>
  </si>
  <si>
    <t>Paulus Żurek</t>
  </si>
  <si>
    <t>Włostowicz? Ze wsi Buczyny, poddany</t>
  </si>
  <si>
    <t>Ze wsi Buczyny, poddany</t>
  </si>
  <si>
    <t>Stanislaus Badylaczyk</t>
  </si>
  <si>
    <t>Młynarczyk</t>
  </si>
  <si>
    <t>Ze wsi Królowka</t>
  </si>
  <si>
    <t>Pobicie, kije, Żydzi, karczma, nieuzasadniona przemoc</t>
  </si>
  <si>
    <t>Archimaistrum Confranternies Sutoris</t>
  </si>
  <si>
    <t>Bratowa Józefa Noskowicza</t>
  </si>
  <si>
    <t>Żona Jakuba</t>
  </si>
  <si>
    <t>Brat Jakuba</t>
  </si>
  <si>
    <t>Cech, rzemiosło, pobicie, rodzina, obraza</t>
  </si>
  <si>
    <t>Rzemieślnik</t>
  </si>
  <si>
    <t>Joannes Zierkowski</t>
  </si>
  <si>
    <t>Gra w karty, zaproszenie, urażona duma</t>
  </si>
  <si>
    <t>Fisior</t>
  </si>
  <si>
    <t>Mieszczanin kierzmarski</t>
  </si>
  <si>
    <t>Malarz</t>
  </si>
  <si>
    <t>Matias Trybulski</t>
  </si>
  <si>
    <t>Josephus Rabinas</t>
  </si>
  <si>
    <t>Ze Sławkowic?</t>
  </si>
  <si>
    <t>Walka na szable</t>
  </si>
  <si>
    <t>Rana kłuta, rana cięta, walka, szable, krew, ząb</t>
  </si>
  <si>
    <t>Joannes Michałkiewicz</t>
  </si>
  <si>
    <t>?</t>
  </si>
  <si>
    <t>Pisarz miejski</t>
  </si>
  <si>
    <t>Wójt wiśnicki</t>
  </si>
  <si>
    <t>Prosił o pozew przeciw Michalskiemu</t>
  </si>
  <si>
    <t>Prosił o pozew przeciw Michalskiemu, rzekomo ma brata złodzieja</t>
  </si>
  <si>
    <t>Brat Michałkiewicza został aresztowany za złodziejstwo, miał zawisnąć, ale uciekł.</t>
  </si>
  <si>
    <t>Arendarz Podzamecki Dęmbinski</t>
  </si>
  <si>
    <t>Spór o regulacje prawne, brat, złodziej, łapówka, prcoes kryminalny, więzienie, ucieczka, łaska, śmierć, familia, reputacja</t>
  </si>
  <si>
    <t>Anzel</t>
  </si>
  <si>
    <t>Marek</t>
  </si>
  <si>
    <t>Roboracja</t>
  </si>
  <si>
    <t>Kompromis w sprawie długu</t>
  </si>
  <si>
    <t>Władysław Jezierski</t>
  </si>
  <si>
    <t xml:space="preserve">Synagoga, dług, karta, zastaw, </t>
  </si>
  <si>
    <t>Jakub Anzlowicz, syn Anzelma</t>
  </si>
  <si>
    <t>Synagoga wiśnicka</t>
  </si>
  <si>
    <t>Gubernator miasta Nowy Wiśnicz</t>
  </si>
  <si>
    <t>Ekonom hrabstwa wiśnickiego</t>
  </si>
  <si>
    <t>Nominacja</t>
  </si>
  <si>
    <t>Obranie władz miejskich</t>
  </si>
  <si>
    <t>Jan Jęczmykowicz</t>
  </si>
  <si>
    <t>Rayca miejski</t>
  </si>
  <si>
    <t>Woyciech Kołaczkowicz</t>
  </si>
  <si>
    <t>Jan Staniszowski</t>
  </si>
  <si>
    <t>Tomasz Noszkowicz</t>
  </si>
  <si>
    <t>Obrany przez pospólstwo</t>
  </si>
  <si>
    <t>Woyciech Swiechowicz</t>
  </si>
  <si>
    <t>Wyznaczony do wysłuchania rachunków</t>
  </si>
  <si>
    <t>Andrzej Kochankowicz</t>
  </si>
  <si>
    <t>Wyznaczony na rzecznikowstwo</t>
  </si>
  <si>
    <t>Pospólstwo, nominacja, urząd</t>
  </si>
  <si>
    <t>Nieposłuszeństwo, nepotyzm, obelgi, więzienie, ucieczka, nieład społeczny</t>
  </si>
  <si>
    <t>Nieład społeczny</t>
  </si>
  <si>
    <t>Zarządzenie</t>
  </si>
  <si>
    <t>Tomasz Fabricy</t>
  </si>
  <si>
    <t>Antonius Poborski</t>
  </si>
  <si>
    <t>Nicolai Gruszkowicz</t>
  </si>
  <si>
    <t>Poddany wsi Królowka</t>
  </si>
  <si>
    <t>Małżonka Goca</t>
  </si>
  <si>
    <t>Kazimierz Koziołkowicz</t>
  </si>
  <si>
    <t>Miał czuwać na wypłatą rat długu</t>
  </si>
  <si>
    <t>Dług, asekuracja, rękojmia, rata, podpis</t>
  </si>
  <si>
    <t>Archimagister Contuberny Santorum</t>
  </si>
  <si>
    <t>Vice Archimagister Contuberny Santorum</t>
  </si>
  <si>
    <t>Antiquis residentid Consul</t>
  </si>
  <si>
    <t>Vice Archimagister</t>
  </si>
  <si>
    <t>Thomas Myszkowicz</t>
  </si>
  <si>
    <t>Consul nunc temporis</t>
  </si>
  <si>
    <t>Confirmatio Seu Electio Variorium Contuberniorum</t>
  </si>
  <si>
    <t>Paulus Poborski</t>
  </si>
  <si>
    <t>Archimagister Pelliceorun antiqous</t>
  </si>
  <si>
    <t>Josephus Ziebienski</t>
  </si>
  <si>
    <t>Ejusdem Contuberny noviter e fectus</t>
  </si>
  <si>
    <t>Joannes Zarebski</t>
  </si>
  <si>
    <t>Archimagister Contuberny Laniorun Noviter Electus</t>
  </si>
  <si>
    <t>Thomas Brodecki</t>
  </si>
  <si>
    <t>Vice Archimagister ejusdem contuberniy antiquos</t>
  </si>
  <si>
    <t>Archimagister Contuberny Pistorun Noviter Electus</t>
  </si>
  <si>
    <t>Jacobus Kuliziewicz</t>
  </si>
  <si>
    <t>Archimagister Contuberny Fabrorum noviter Electus</t>
  </si>
  <si>
    <t xml:space="preserve">Vice Archimagister antiquos </t>
  </si>
  <si>
    <t>Adalbertus Swiechowicz</t>
  </si>
  <si>
    <t>Archimagister Contuberny Pannicorun antiqous</t>
  </si>
  <si>
    <t>Casimirus Buczkowski</t>
  </si>
  <si>
    <t>Vice Archimagister ejusdem contuberny etian antiquos</t>
  </si>
  <si>
    <t>Wybory cechowe</t>
  </si>
  <si>
    <t>Stanisław Waligorski</t>
  </si>
  <si>
    <t>Izaak Krakowski</t>
  </si>
  <si>
    <t>Zastaw, szlachcic, żyd, ładownica, łyżki, srebro, złoto, opończa,</t>
  </si>
  <si>
    <t>Dochodzenie zastawu</t>
  </si>
  <si>
    <t>Obywatel wiśnicki, podpis</t>
  </si>
  <si>
    <t>Podcechmistrz kunsztu krawieckiego</t>
  </si>
  <si>
    <t>Andreas Poborski</t>
  </si>
  <si>
    <t>Kradzież konia</t>
  </si>
  <si>
    <t>Józef Gumulski</t>
  </si>
  <si>
    <t>Stanisław Reisz</t>
  </si>
  <si>
    <t>Kon, kradzież, zwrot, nieboszczyk, brać</t>
  </si>
  <si>
    <t>Sebastianus Klepai</t>
  </si>
  <si>
    <t>Parobek Sławetnego Pana Alexandra Michalskiego</t>
  </si>
  <si>
    <t>Joannes Zerkowski</t>
  </si>
  <si>
    <t>Gumno, parobek, pożyczenie, siędlecka, pobicie, uraz, zabicie, kij, fleytuch, krew, głowa, czoło, przecięty, razy, opuchlizna, łopatki, plecy</t>
  </si>
  <si>
    <t>Cechmistrz Krawiecki</t>
  </si>
  <si>
    <t>Chłopiec</t>
  </si>
  <si>
    <t>Uczeń cechmistrza</t>
  </si>
  <si>
    <t>Małżonka Buczkowskiego</t>
  </si>
  <si>
    <t>Rudkiewiczowa</t>
  </si>
  <si>
    <t>Mieszkał u niej chłopiec</t>
  </si>
  <si>
    <t>Spór o chłopca-ucznia</t>
  </si>
  <si>
    <t>Chłopiec, uczeń, rzemiosło, krawiec, cech, cechmistrz, pogwałcenie, dom, piecza</t>
  </si>
  <si>
    <t>Contuberni Sartorum</t>
  </si>
  <si>
    <t>Teresa Rudkiewiczowa</t>
  </si>
  <si>
    <t>Buczkowski</t>
  </si>
  <si>
    <t>Sukiennik</t>
  </si>
  <si>
    <t>Chłopiec nie chciał uczyć się rzemiosła, poszedł do domu Rudkiewiczowej gdzie spotkał Buczkowskiego sukiennika, który przyjął go jako ucznia.</t>
  </si>
  <si>
    <t>Mathias Rudkiewicz</t>
  </si>
  <si>
    <t>Gdowski</t>
  </si>
  <si>
    <t>Kochankowicz</t>
  </si>
  <si>
    <t>Chłopiec się u niego uczył</t>
  </si>
  <si>
    <t>Córka Gdowskiego</t>
  </si>
  <si>
    <t>Był na przenosinach w cechu piekarskim, był tam Buczkowski i chłopiec w towarzystwie Magistra</t>
  </si>
  <si>
    <t>Spotkał chłopca u Obarzanczarzów, dał mu grosz na Obarzanki, by się schornił. Częstował go miodem w cechu piekarskim</t>
  </si>
  <si>
    <t>Cech, rzemiosło, nauka, uczeń, chłopiec, Brzesk, sukiennictwo, kościół, metryka, ojciec chrzestny, schronienie, jałmużna, grosz, miód, częstowanie, godność</t>
  </si>
  <si>
    <t>Chłopiec był u niego po metrykę i z pytaniem o ojców chrzestnych, jego ojciec</t>
  </si>
  <si>
    <t>Syn Gdowskiego</t>
  </si>
  <si>
    <t>Cech Krawiecki</t>
  </si>
  <si>
    <t>Kazimierz Buczkowski</t>
  </si>
  <si>
    <t>Chłopiec Stanisław</t>
  </si>
  <si>
    <t>Magister</t>
  </si>
  <si>
    <t>Magister, cech, cechmistrz, krawiec, odmawianie, chłopiec</t>
  </si>
  <si>
    <t>Archimagister Sartorum</t>
  </si>
  <si>
    <t>Uxorem ejus</t>
  </si>
  <si>
    <t>Kpie, błażnie, sąd, publicznie</t>
  </si>
  <si>
    <t>Ziembienska</t>
  </si>
  <si>
    <t>Josephus Kuzma</t>
  </si>
  <si>
    <t>Z Leksandrówski</t>
  </si>
  <si>
    <t>Maź, sprzedaż, jatka</t>
  </si>
  <si>
    <t>Odsprzedaż mazi</t>
  </si>
  <si>
    <t>Brak świadka</t>
  </si>
  <si>
    <t>Cech Sukienniczy Wiśnicki</t>
  </si>
  <si>
    <t>Cech Sukienniczy Dobczycki</t>
  </si>
  <si>
    <t>Konkurencja o sukno dla krawców wiśnickich</t>
  </si>
  <si>
    <t>Cech, sukno, Wiśnicz, Dobczyce, żydzi, wełna, konfiskata</t>
  </si>
  <si>
    <t>Stefanus Sierawski</t>
  </si>
  <si>
    <t>Koscienski</t>
  </si>
  <si>
    <t>Zakup sukna od sukienników dobczyckich</t>
  </si>
  <si>
    <t>Sukno, sukiennicy, Dobczyce</t>
  </si>
  <si>
    <t>Adalbertus Cichawa</t>
  </si>
  <si>
    <t>Advocati</t>
  </si>
  <si>
    <t>Joannis Jęczmykowicz</t>
  </si>
  <si>
    <t>Proconsulis</t>
  </si>
  <si>
    <t>Adalbertus Kołaczkowicz</t>
  </si>
  <si>
    <t>Joannis Staniszewski</t>
  </si>
  <si>
    <t>Thomas Grupkowicz</t>
  </si>
  <si>
    <t>Consulus</t>
  </si>
  <si>
    <t>Kontrybucja, lonarstwo, szafarstwo doroczne, pospólstwo, magistrat</t>
  </si>
  <si>
    <t>Civis noster, niepiśmienny</t>
  </si>
  <si>
    <t>Zwolnienie od szafarstwa</t>
  </si>
  <si>
    <t>Joannis Sierawski</t>
  </si>
  <si>
    <t>Joannes Poborski</t>
  </si>
  <si>
    <t>Dominicus Woyciechowski</t>
  </si>
  <si>
    <t>Civis noster, niepiśmienny, o słabym zdrowiu</t>
  </si>
  <si>
    <t>Kontrybucja, lonarstwo, szafarstwo doroczne, pospólstwo, magistrat, słabość zdrowia</t>
  </si>
  <si>
    <t>Qvietatio</t>
  </si>
  <si>
    <t>Zierkowski</t>
  </si>
  <si>
    <t>Rogozowicz</t>
  </si>
  <si>
    <t>Czempurski</t>
  </si>
  <si>
    <t>Proszony do zajętych konii</t>
  </si>
  <si>
    <t>Zajęte konie</t>
  </si>
  <si>
    <t>Konie, spór, upór, mediacja</t>
  </si>
  <si>
    <t>Michaelis Zarębski</t>
  </si>
  <si>
    <t>Agnetis</t>
  </si>
  <si>
    <t>Ancilla Laurentis Zarębski</t>
  </si>
  <si>
    <t>Servus Advocatialis</t>
  </si>
  <si>
    <t>Pytczyna</t>
  </si>
  <si>
    <t>Towarzysz Wawrzeńca</t>
  </si>
  <si>
    <t>Zofia</t>
  </si>
  <si>
    <t>Advocatielis Servi Uxor</t>
  </si>
  <si>
    <t>Adalbertus Bernacki</t>
  </si>
  <si>
    <t>Z Kliczyna</t>
  </si>
  <si>
    <t>Michał Zarębski zigrywał się z dziewską karczemną, sypiał z nią, całował, nawet po jej wyjściu z więzienia</t>
  </si>
  <si>
    <t>Valentinus Osuchowicz</t>
  </si>
  <si>
    <t>Upodobanie, sypianie głowami do siebie, więzienie, całowanie, diabeł, wieniec</t>
  </si>
  <si>
    <t>Nieobyczajne postępowanie</t>
  </si>
  <si>
    <t>Michał Zarębski</t>
  </si>
  <si>
    <t>Jagnieszka</t>
  </si>
  <si>
    <t>Służka P. Wawrzeńca Zarębskiego</t>
  </si>
  <si>
    <t>Plagi, karanie, rynek, swawole, więzienie</t>
  </si>
  <si>
    <t>Uciekł z ratusza, w jego miejsce osadzono Wawrzyńca - starszego brata</t>
  </si>
  <si>
    <t>Wawrzyniec Zarębski</t>
  </si>
  <si>
    <t>Starszy brat</t>
  </si>
  <si>
    <t>Katarzyna</t>
  </si>
  <si>
    <t>Z Lubnia</t>
  </si>
  <si>
    <t>Jej matka</t>
  </si>
  <si>
    <t>Parobek</t>
  </si>
  <si>
    <t>Ojciec dziecka Katarzyny</t>
  </si>
  <si>
    <t>Proboszcz</t>
  </si>
  <si>
    <t>Wstawił się za Katarzyną</t>
  </si>
  <si>
    <t>Katarzyna przybyła na Wiśnicz w sprawie nieślubnego dziecka. Wstawił się za nią Proboszcz, gdyż była zaręczona z kantorem farnym</t>
  </si>
  <si>
    <t>Bękart, dziecko, matka, parobek, Lubnia, plagi, proboszcz, kantor farny, zaręczenie</t>
  </si>
  <si>
    <t>Wawrzeniec Zarębski</t>
  </si>
  <si>
    <t>Brat Wawrzeńca</t>
  </si>
  <si>
    <t>Brat, ucieczka, więzienie, ratusz, dekret, niewola, kara, stawienie</t>
  </si>
  <si>
    <t>Wawrzyniec doprowadził do sądu zbiegłego brata, ale nie był wolny do czasu zadośćuczynienia dekretowi</t>
  </si>
  <si>
    <t>Sąd Radziecki</t>
  </si>
  <si>
    <t>Obelga, spór o odpowiedzialność karną</t>
  </si>
  <si>
    <t>Petrus Rogozowicz</t>
  </si>
  <si>
    <t>Joannis Zierkowski</t>
  </si>
  <si>
    <t>Kazimierz Knorowicz</t>
  </si>
  <si>
    <t>Tomasz Gruszkowicz</t>
  </si>
  <si>
    <t>Radca wiśnicki</t>
  </si>
  <si>
    <t>Puszkarz</t>
  </si>
  <si>
    <t>Powodem dylacji jest przedstawienie przez Gruszkowicza praw do ziemi</t>
  </si>
  <si>
    <t>Łączka, grządka, ziemia, nieboszczyk, wywód, prawo</t>
  </si>
  <si>
    <t>Wyborca Symplowy</t>
  </si>
  <si>
    <t>Dług, dokument, wymówka, symple, dylacja</t>
  </si>
  <si>
    <t>Magistratus</t>
  </si>
  <si>
    <t>Jan Zierkowski</t>
  </si>
  <si>
    <t>Ucieczka z więzienia</t>
  </si>
  <si>
    <t xml:space="preserve">Ucieczka z więzienia </t>
  </si>
  <si>
    <t>Dług, dokument, wymówka, symple, dylacja, ucieczka</t>
  </si>
  <si>
    <t>Jan Zarębski</t>
  </si>
  <si>
    <t>Spór o rynnę</t>
  </si>
  <si>
    <t>Szkoda, rynna, komora, odpowiedzialność</t>
  </si>
  <si>
    <t>Stanislaus Knorowicz</t>
  </si>
  <si>
    <t>Thomas Gruszkowicz</t>
  </si>
  <si>
    <t>Ojciec Gruszkowicza</t>
  </si>
  <si>
    <t>Urodził się, gdy ojciec Gruszkowicza sądził się ze swoją siostrą i matką Knorowicza</t>
  </si>
  <si>
    <t>Matka Knorowicza</t>
  </si>
  <si>
    <t>Nieboszczka</t>
  </si>
  <si>
    <t>Spór o ziemię</t>
  </si>
  <si>
    <t>Łączka, grządka, rola popławska, kołki, nieboszczyk, nieboszczka, rodzina, śliwa, paliki, piła, złość, szkoda, powietrze morowe, zaraza</t>
  </si>
  <si>
    <t>Stanisław Knorowicz</t>
  </si>
  <si>
    <t>Thomasz Gruszkiewicz</t>
  </si>
  <si>
    <t>Prawo do ziemi po babce</t>
  </si>
  <si>
    <t>Jego ojciec kupił ziemię od matki Knorowicza</t>
  </si>
  <si>
    <t>Brak dokumentu na zakup ziemi od Knorowiczowej</t>
  </si>
  <si>
    <t>Łączka, grządka, nieboszczyk, matka, dokument, księgi</t>
  </si>
  <si>
    <t>Pytkiewicz</t>
  </si>
  <si>
    <t>Rayczyk</t>
  </si>
  <si>
    <t>Thomasz Gruszkowicz</t>
  </si>
  <si>
    <t>Grządka, łączka, potraw, siano, areszt, dziedzizna, oyczyzna, kołki, wiosna, plac, grodzenie, zgoda, miłość, Bóg, zakład grzywien</t>
  </si>
  <si>
    <t>Woyciechowski</t>
  </si>
  <si>
    <t>Woyciechowska</t>
  </si>
  <si>
    <t>Woyt</t>
  </si>
  <si>
    <t>Szkoda, pszenica, wieprzek, wdowa, mąż</t>
  </si>
  <si>
    <t>Mąż Woyciechowskiej nie stawił się jako reprezentat strony, co w obliczu nie bycia wdową przez Woyciechowską zmusza sąd do przełożenia rozprawy na wtorek</t>
  </si>
  <si>
    <t>Żona, nie wdowa</t>
  </si>
  <si>
    <t>Katharzyna Gniadkowiczowa</t>
  </si>
  <si>
    <t>Szczepankowicz</t>
  </si>
  <si>
    <t>Szkoda, piwnica, wyjście urzędu, woda, mur, ruina, strop, ściany, gnicie</t>
  </si>
  <si>
    <t>Wyganiał świnie ze szkody do Poborskiego</t>
  </si>
  <si>
    <t>Szkoda, świnie, owies, żydzi</t>
  </si>
  <si>
    <t>Stanisław Zarębski</t>
  </si>
  <si>
    <t>Franciszkowa Kotca</t>
  </si>
  <si>
    <t>Obelga, dochodzenie długu</t>
  </si>
  <si>
    <t>Mieszczka, cech, brat, gwałt, smusza, dobrowolność</t>
  </si>
  <si>
    <t>Z Lubowni, dłużnik pani Kotcej</t>
  </si>
  <si>
    <t>Jan Michałkiewicz</t>
  </si>
  <si>
    <t>Mathyasz Miskowicz</t>
  </si>
  <si>
    <t>Stargował u Miskowicza plac z piwnicą na pułdomek</t>
  </si>
  <si>
    <t>Sprzedaz nieruchomości bez kontraktu</t>
  </si>
  <si>
    <t>Jakub P.</t>
  </si>
  <si>
    <t xml:space="preserve">Owies, ozimina, plac, piwnica, pułdomek, targ, siew, zagony, wymowa, kontrakt, sprzedaż bez kontraktu, zadatek, budowa, kajanie, krzywda, wspólna praca, dzielenie się owsem, snopki, nasienie, gront, mierzenie, nakłady prawne, podatek, regestr, Święty Marcin </t>
  </si>
  <si>
    <t>Wyszedł od niego regestr</t>
  </si>
  <si>
    <t>Stanislaus Poborski</t>
  </si>
  <si>
    <t>Josephus Ziembienski</t>
  </si>
  <si>
    <t>Cechmistrzowa</t>
  </si>
  <si>
    <t xml:space="preserve">Pijana siedziała w sienie, weszła do izby, gdzie wszyscy byli pijani i uderzyła dwukrotnie w gębę Stanisława </t>
  </si>
  <si>
    <t>Wziął Stanisława za czuprynę, za co został zwyzywany "skurwysynu kpie" i oskarżony o obłapianie cechmistrzyni</t>
  </si>
  <si>
    <t>Ofiara pobicia dłonią i warzechą, zrzucił czepiec z głowy, ale nie pobił. Poszedł do komina i przycisnął doń syna cechmistrza. Chciał go pobić, ale był zbyt pijany</t>
  </si>
  <si>
    <t>Cechmistrz</t>
  </si>
  <si>
    <t>Syn cechmistrza</t>
  </si>
  <si>
    <t>Jacobus Kalinski</t>
  </si>
  <si>
    <t>Twierdzi, że zdarzyło się to wczoraj</t>
  </si>
  <si>
    <t>Nieobecny, poszedł gdzieś w potrzebie</t>
  </si>
  <si>
    <t>Agresorka, stryjenka Stanisława?</t>
  </si>
  <si>
    <t>Jego zdaniem Stanisław sprowokował atak warzechą wyzwiskami</t>
  </si>
  <si>
    <t>Jego zdaniem Stanisław został sprowokowany przez syna cechmistrza</t>
  </si>
  <si>
    <t>Cech, trunek, pijaństwo, przemoc, cios w gębę, gęba, cechmistrzowa, sien, izba, kurwa, obelga, czepiec, czapka, zrzucenia czapki, zrzucenie czepca, szyja, głowa, warzecha, zdrada, obłapianie, upodobanie, wstawianie się za kimś, komic, przebicie, konsolacyja, piwo, niedyskrecja, kuśnierze, Bóg, kiep, skurwysyn, stryenka, łeb, zabijaczka, kij, prowokacja, stół, rodzina</t>
  </si>
  <si>
    <t>Stanisław Poborski</t>
  </si>
  <si>
    <t>Pawłowa</t>
  </si>
  <si>
    <t>Dyffamacja, lżenie, pobicie, pijaństwo, cechmistrzowa, cech, język, więzienie, krata, dom, cechmistrz, godność, godna osoba, słowa nienależyte, nieuwaga, plagi, brat cechowy</t>
  </si>
  <si>
    <t>Rozróżnienie w sposobie ukarania od płynności finansowej</t>
  </si>
  <si>
    <t>Jakub Palarz</t>
  </si>
  <si>
    <t>Czarka</t>
  </si>
  <si>
    <t>Ogień, żyd, rewizya, strach, wina, nieostrożność, niewola, karanie publiczne, rynek, plagi</t>
  </si>
  <si>
    <t>Cech kuśnierski</t>
  </si>
  <si>
    <t>Cech kuśnierski, pieniądze, protestacye, appelacye, cech,  zakaz zasiadania w cechu, rzemiosło, zakaz rzemiosła, konkluzya</t>
  </si>
  <si>
    <t>Zakazano mu zasiadania w cechu i wykonywania rzemiosła, cech nie chciał mu pozwolić wypisać apelacji według protestacji,  na którą cech wziął pieniądze</t>
  </si>
  <si>
    <t>Brat cechowy - były?</t>
  </si>
  <si>
    <t>Wyjaśnienie postawy i decyzji cechu</t>
  </si>
  <si>
    <t>Kazimierz Sołwinski</t>
  </si>
  <si>
    <t>Brat cechu kuśnierskiego</t>
  </si>
  <si>
    <t>Próba samobójcza</t>
  </si>
  <si>
    <t>Przyszedł do sądu nie jako człowiek ale jako bydle pijany. Gdy go wsadzono za kraty, próbował powiesić się na własnym pasie. Diabłu duszę zaprzedał, Msza Święta, leżenie krzyżem, publicznie</t>
  </si>
  <si>
    <t>Pijany, człowiek, bydle, cech, brat cechowych, kuśnierz, krata, hańba, wieszanie się, pas, plagi, więzienie, samobójstwo, dusza, diabeł, Msza Święta, leżenie krzyżem</t>
  </si>
  <si>
    <t>Ziembienski</t>
  </si>
  <si>
    <t>Podcechmistrz</t>
  </si>
  <si>
    <t>Kalenski</t>
  </si>
  <si>
    <t>Jan Poborski</t>
  </si>
  <si>
    <t>Brat cechowy stary</t>
  </si>
  <si>
    <t>Wypłacony</t>
  </si>
  <si>
    <t>Motor do niesnasków</t>
  </si>
  <si>
    <t>Dolegliwość, ucieczka, cech, appelacya, posiedzenie sądu, zakaz traktowania rzemiosła, niesnaski, gęba, gęba przestrona</t>
  </si>
  <si>
    <t>Konflikt cechowy</t>
  </si>
  <si>
    <t>Kalinski</t>
  </si>
  <si>
    <t>Cech, dekret, uspokojenie, cech, bracia cechowi, podcechmistrz</t>
  </si>
  <si>
    <t>Zdobycie świadków i dowodów</t>
  </si>
  <si>
    <t>Ma zdobyć świadków</t>
  </si>
  <si>
    <t>Ma zdobyć dokument z Brzeska</t>
  </si>
  <si>
    <t>Dokument, Brzesk</t>
  </si>
  <si>
    <t>Hałasowanie nocą</t>
  </si>
  <si>
    <t>Josephus Gniadkiewicz</t>
  </si>
  <si>
    <t>Furgałowicz</t>
  </si>
  <si>
    <t>Łobodzinski</t>
  </si>
  <si>
    <t xml:space="preserve">W jego domu grali i tańcowali młodzieniaszkowie mieyscy kunsztu krawieckiego y różnego. </t>
  </si>
  <si>
    <t>Ksiądz Pęgowski</t>
  </si>
  <si>
    <t>Zastał go Gniadkiewicz do domu Łobodzinskiego, pili razem</t>
  </si>
  <si>
    <t>Poszedł do domu, odnalazł się w iznie Łobodzinskiego pijący z młodzikami, bo napotkał kobiety tu idące. Wśród nich była jego żona, poszedł jej pilnować</t>
  </si>
  <si>
    <t>Czeladnik P. Grzeszkowicza</t>
  </si>
  <si>
    <t>Dąbrowski</t>
  </si>
  <si>
    <t>Czeladnik P. Stefana Sierawskiego</t>
  </si>
  <si>
    <t>Grzeszkowicz</t>
  </si>
  <si>
    <t>Stefan Sierawski</t>
  </si>
  <si>
    <t>Franciszek Sierawski</t>
  </si>
  <si>
    <t>Grabowski</t>
  </si>
  <si>
    <t>Był bity na ulicy, groził supliką do księcia</t>
  </si>
  <si>
    <t>Chciał wywlec Szewczyka za stół i wyrzucić oknem</t>
  </si>
  <si>
    <t>Szczewczyk Pytlowski</t>
  </si>
  <si>
    <t>Chciał wywlec Szewczyka za stół i wyrzucić oknem. Powiedział, żenie  jest krawcem skoro się za szewcami ujmuje. Szczewczyk odpowiedział, że sam nie jest krawiec tylko powroźnik, bo wstydzi się przychodzić na cechową mszę świętą a woli chodzić do organisty na chór kalkować. Ten odpowiedział coś o matce, co zaowocowało ciosem w gębę.</t>
  </si>
  <si>
    <t>Kazimierek</t>
  </si>
  <si>
    <t>z Zagród</t>
  </si>
  <si>
    <t>Próbował uspokoić Ziembienskiego, ale został przez niego pobity</t>
  </si>
  <si>
    <t>Młodziki Mieyskie, Synkowie, noc, izdebka, targowanie, karczma, białogłowy, ksiądz, picie, izba, komora, stół, granie, tańcowanie, dom, żona, piwo, taniec, wódka, hałas, ulica, bicie, czeladnik, Siuster, Sznayder, gęba, skrzypkowie, suplika, pięść, zabijanie, okno, defenstracja, obelga, wyjmowanie, krawiec, szewc, powroźnik, wstyd, msza święta, organista, chór, miarka, gęba, rozlanie piwa, skurwysyn, magiera, kontusz, kij, skrzynia, oko, krew, wybicie oka, gospodarz, czapka, trunek, drzwi, łóżko.</t>
  </si>
  <si>
    <t>Paulus</t>
  </si>
  <si>
    <t>Alexandrus Michalski</t>
  </si>
  <si>
    <t>Thomasz Ziembienski</t>
  </si>
  <si>
    <t>Czeladnik P. Gruszkowicza</t>
  </si>
  <si>
    <t>Franciszek Gniadkiewicz</t>
  </si>
  <si>
    <t>Grzes Piątkowicz</t>
  </si>
  <si>
    <t>Catharina Paduchowiczowa</t>
  </si>
  <si>
    <t>Grześ Gniadkiewicz</t>
  </si>
  <si>
    <t>Czeladnik Cechmistrza Tkackiego</t>
  </si>
  <si>
    <t>Był tam w zeszłą niedzielę</t>
  </si>
  <si>
    <t>Thomasz Grabowski</t>
  </si>
  <si>
    <t>Był tam w zeszłą niedzielę, stłókł szklanicę z piwem o oblał kontusz Sierawskiemu. Pogodzili się, ale tydzień później o tym rozpowiadał i groził, że mu w pysk odda. Powiedział, że są tutejsi, ale godzi się wędrownego zbijać</t>
  </si>
  <si>
    <t>Martinus Łobodzinski</t>
  </si>
  <si>
    <t>Nie było go w domu podczas bójki czeladników</t>
  </si>
  <si>
    <t>Był tam w zeszłą niedzielę, Siuster to szewc, Snaider to krawiec</t>
  </si>
  <si>
    <t>Łobodziński zastał ją tańcującą i wielce się dziwował</t>
  </si>
  <si>
    <t>Maciey Poborski</t>
  </si>
  <si>
    <t>Powiedział Sierawskiemu, że jest ze sławnego rodu. Został wyzwany od Młynarczyka, który pobiera miarki</t>
  </si>
  <si>
    <t>Czeladnik, błoto, kontusz, wrazic, oko, Suster, Snaider, Snaidrowie, gęba, bicie, izba, drzwi, stół, okno, defenestracja, szyja, powroźnik, taniec, komora, garniec piwa, ród, sława, głowa, kij, grzbiet, nosidło, wybite oko, szafa, suplika, gadanie po cudzoziemsku, wędrowny, obcy, zabijanie, kiep, ujmowanie się, wybite zęby, czapka. dziwować się, nos, krew, młynarczyk, miarka</t>
  </si>
  <si>
    <t>"Sprawę tak zawiłą"</t>
  </si>
  <si>
    <t>Oczekiwanie na efekt kuracji</t>
  </si>
  <si>
    <t>Oko, kuracja, szwankowanie, sprawa zawiła</t>
  </si>
  <si>
    <t>Thomasz Jaroszkowicz</t>
  </si>
  <si>
    <t>Kuruje Rudkiewicza</t>
  </si>
  <si>
    <t>Contubernium Fabrorus</t>
  </si>
  <si>
    <t>Stanislaus Muszynski</t>
  </si>
  <si>
    <t>Kotcy</t>
  </si>
  <si>
    <t>Kwestia przynależności sądowej</t>
  </si>
  <si>
    <t>Nicolaus Gruszkowicz</t>
  </si>
  <si>
    <t>Adalbertus Kołaczkiewicz</t>
  </si>
  <si>
    <t>Civis noster, niepiśmienny, na dorobku, niedawno pożeniony</t>
  </si>
  <si>
    <t>Żona, fortuna, strata, grunt, niewiedza, zasiew, dowód</t>
  </si>
  <si>
    <t>"Jana raczey Wawrzynca Ksiąszkowicza"</t>
  </si>
  <si>
    <t>Knorowicz</t>
  </si>
  <si>
    <t>Nieboszczyk, przodek Jana Zierkowskiego</t>
  </si>
  <si>
    <t>Czapnik</t>
  </si>
  <si>
    <t xml:space="preserve">Żona, fortuna, strata, protestacja, antecesor, przodek, rewers, zadanie złodziejstwa, złodziejstwo, beczka, żyd, czapnik, naprawa, pożyczenie, zniewaga, dyffamacia, dom, przeprosiny, nakłady prawne, deprekacya,  </t>
  </si>
  <si>
    <t>Niezadowolenie z dekretu</t>
  </si>
  <si>
    <t>Nowy Rok, Bóg, zwierzchność zamkowa</t>
  </si>
  <si>
    <t>Electio Famatorum Proconsulum Neovisicensius</t>
  </si>
  <si>
    <t>Wybór urzędnika</t>
  </si>
  <si>
    <t>Seweryn Korwin Kochanowski</t>
  </si>
  <si>
    <t>Gubernator Zamku y Miasta</t>
  </si>
  <si>
    <t>Burmistrz</t>
  </si>
  <si>
    <t>Wybrany przez zwierzchność</t>
  </si>
  <si>
    <t>Wybrany przez pospólstwo</t>
  </si>
  <si>
    <t>Marcin Łobodzinski</t>
  </si>
  <si>
    <t>Rachmistrz</t>
  </si>
  <si>
    <t>Stanisław Muszynski</t>
  </si>
  <si>
    <t>Confirmatio variorum Contuberniorum</t>
  </si>
  <si>
    <t>Vicearchimagister</t>
  </si>
  <si>
    <t>Archimagister Pelliceorum</t>
  </si>
  <si>
    <t>Noviter electi</t>
  </si>
  <si>
    <t>Archimagister fabrorum</t>
  </si>
  <si>
    <t>Vicearchimagister fabrorum</t>
  </si>
  <si>
    <t>Archimagister Contuberny Laniorum</t>
  </si>
  <si>
    <t>Archimagister Pistorum</t>
  </si>
  <si>
    <t>Archimagister Pannitextorum</t>
  </si>
  <si>
    <t>Casimirus Burzkowski</t>
  </si>
  <si>
    <t>Archimagister Sutorum</t>
  </si>
  <si>
    <t>Thomas Grzeszkowicz</t>
  </si>
  <si>
    <t>Viceachimagister</t>
  </si>
  <si>
    <t>Radaszowska</t>
  </si>
  <si>
    <t>Regina Sierawska</t>
  </si>
  <si>
    <t>Joannes Sowinski</t>
  </si>
  <si>
    <t>Joannes Jasienkowicz</t>
  </si>
  <si>
    <t>Ksiąszkowicz</t>
  </si>
  <si>
    <t>Szwagier Jasienkowicza</t>
  </si>
  <si>
    <t>Jego szwagier został zrzucony z burmistrzostwa przez Koziałkowicza. Groził, że będzie wójtem a szwagier Michałkowicz burmistrzem. "Tyś w mojej kieszeni"</t>
  </si>
  <si>
    <t>Dom, wójt, burmistrz, rodzina, szwagier, rynek, ulica, budować się, plac, miasto, sprawa, sianie, zbieranie, staianka,  mieć w kieszeni.</t>
  </si>
  <si>
    <t>Casimirus Piekarczyk</t>
  </si>
  <si>
    <t>Josephus Piątkowicz</t>
  </si>
  <si>
    <t>Valentinus Furgałowicz</t>
  </si>
  <si>
    <t>Niepiśmienny, na usługach JOX zostający</t>
  </si>
  <si>
    <t>Józef Jaroszkowicz</t>
  </si>
  <si>
    <t>Tomasz Paskowicz</t>
  </si>
  <si>
    <t>Trzyma zastaw na ogrodzie Jaroszkowicza</t>
  </si>
  <si>
    <t>Młodszy syn - mianowany dziedzicem rodziców. Chce się budować na zastawionym ogrodzie</t>
  </si>
  <si>
    <t>Tomasz Jaroszkowicz</t>
  </si>
  <si>
    <t>Starszy syn, zastawił ogród</t>
  </si>
  <si>
    <t>Ogród, zastaw, plac rodzicielski, brat młodszy, brat starszy, spadek, sukcesot, zażywanie, nawóz, budowanie się, konfiskata.</t>
  </si>
  <si>
    <t>Archimagistrum Pellicorum</t>
  </si>
  <si>
    <t>Contubernium Pellicorum</t>
  </si>
  <si>
    <t>Obraza</t>
  </si>
  <si>
    <t>Cech, brać cechowa, całowanie w dupę, opór, cechmistrz</t>
  </si>
  <si>
    <t>Jacobus Kulizewicz</t>
  </si>
  <si>
    <t>Laurentius Ksiąszkowicz</t>
  </si>
  <si>
    <t>Błazen, kiep, słudzy miejscy, podatek, regestr, kpienie.</t>
  </si>
  <si>
    <t>Casimirus Sowinski</t>
  </si>
  <si>
    <t>Cech, cechmistrz, cecha, leżenie, całowanie</t>
  </si>
  <si>
    <t>Nie poszedł do cechu na żądanie cechmistrza, bo mu się nie chciało i wolał poleżeć. Powiedział: "Niech mnie P. Paweł Cechmistrz całuje na dole"</t>
  </si>
  <si>
    <t>Paweł Poborski</t>
  </si>
  <si>
    <t>Sam był wcześniej cechmistrzem</t>
  </si>
  <si>
    <t>Obraza, niewypełnienie obowiązków cechowych</t>
  </si>
  <si>
    <t>Młodszy cechowy</t>
  </si>
  <si>
    <t>Cech, cechmistrz, cecha, leżenie, całowanie, więzienie ratuszowe</t>
  </si>
  <si>
    <t>Były cechmistrz</t>
  </si>
  <si>
    <t>Kulizewicz</t>
  </si>
  <si>
    <t>Podatek, symplowe, regestr, więzienie ratuszowe, urząd, zniewaga</t>
  </si>
  <si>
    <t>Petrus Noskowicz</t>
  </si>
  <si>
    <t>Niepiśmienny, stary</t>
  </si>
  <si>
    <t>Nie został uwolniony ani skwitowany z innych podatków miejskich</t>
  </si>
  <si>
    <t>Lichocki</t>
  </si>
  <si>
    <t>Ksiądz proboszcz starowiśnicki</t>
  </si>
  <si>
    <t>Nieudolna naprawa</t>
  </si>
  <si>
    <t>Piwo, antałek, beczka, dno, antałek, strata, ksiądz, probostwo, Stary Wiśnicz, miasto, droga.</t>
  </si>
  <si>
    <t>Józef Szczerbanski</t>
  </si>
  <si>
    <t>Zegarmistrz</t>
  </si>
  <si>
    <t>Mieszka naprzeciw Żyda Matysa</t>
  </si>
  <si>
    <t>Matys</t>
  </si>
  <si>
    <t>Bierkowski</t>
  </si>
  <si>
    <t>Koziołkiewicz</t>
  </si>
  <si>
    <t>Pęgowski</t>
  </si>
  <si>
    <t>Liszewski</t>
  </si>
  <si>
    <t>Świadek Szczerbańskiego</t>
  </si>
  <si>
    <t>Sprzedawał miód fałszywą miarą, gdy została przekazana Urzędowi, chciał ją wymienić za garniec miodu</t>
  </si>
  <si>
    <t>Oszustwo</t>
  </si>
  <si>
    <t>Miód, garniec, półgarniec, miara, oszustwo, żyd, mieszczanie, szlachcic, godność</t>
  </si>
  <si>
    <t>Vicary in Antiqua Visnicz</t>
  </si>
  <si>
    <t>Laurentius Motak</t>
  </si>
  <si>
    <t>Jan Draganik</t>
  </si>
  <si>
    <t>Proboszcz w Starym Wiśniczu</t>
  </si>
  <si>
    <t>Piwo, antałek, beczka, dno, antałek, strata, ksiądz, probostwo, Stary Wiśnicz, miasto, droga, bednarz, woły</t>
  </si>
  <si>
    <t>Paskowicz</t>
  </si>
  <si>
    <t>Josephus Jaroszkowicz</t>
  </si>
  <si>
    <t>Thomas Jaroszkowicz</t>
  </si>
  <si>
    <t>Frater ejus</t>
  </si>
  <si>
    <t>Stanislaus Uliaszkowicz</t>
  </si>
  <si>
    <t>Josephus Radaszowski</t>
  </si>
  <si>
    <t>Fiałkowski</t>
  </si>
  <si>
    <t>Niedotrzymanie umowy o pracę</t>
  </si>
  <si>
    <t>Staniątka, targowanie roboty, klasztor, zadatek, namawianie do roboty, robota, odrzucenie, opuszczenie roboty</t>
  </si>
  <si>
    <t>Niewykonanie dekretu</t>
  </si>
  <si>
    <t>-</t>
  </si>
  <si>
    <t>Zawarska</t>
  </si>
  <si>
    <t>Giecowa</t>
  </si>
  <si>
    <t>Brzuchalski</t>
  </si>
  <si>
    <t>Obraza, kradzież z aresztu</t>
  </si>
  <si>
    <t>Nawóz, podkupienie, areszt, kradzież, zabranie, rozprawa</t>
  </si>
  <si>
    <t>Contubernium Sutorum</t>
  </si>
  <si>
    <t>Czeladnik Noskowicz</t>
  </si>
  <si>
    <t>Nieposzanowanie zasad cechowych</t>
  </si>
  <si>
    <t>Cech, czeladnik, bracia cechowi, skarb, stół, fundatorzy, cechmistrz</t>
  </si>
  <si>
    <t>Contubernium Fabrorum</t>
  </si>
  <si>
    <t>Wiewiorski</t>
  </si>
  <si>
    <t>Nieposzanowanie zasad cechowych, napaść</t>
  </si>
  <si>
    <t>Cech, cechmistrz, cecha, brać cechowa, dom, piersi, chwycenie, trząsanie, rozrywanie, chusty, kłopot</t>
  </si>
  <si>
    <t>Kunegunda Piątkiewiczowa</t>
  </si>
  <si>
    <t>Rayczyni</t>
  </si>
  <si>
    <t>Oszacowanie szkody</t>
  </si>
  <si>
    <t>Józef Ziembinski</t>
  </si>
  <si>
    <t>Szkoda, woda, piwnica, rynna, grunt, parkan, zafasować, przykopa, okno</t>
  </si>
  <si>
    <t>Uzurpacja, plac, krowa, wypas, potraw, szczepki, śliwina, konie, przygroda, naprawa</t>
  </si>
  <si>
    <t>Jan Szczepanowski</t>
  </si>
  <si>
    <t>Woyciech Kołaczkiewicz</t>
  </si>
  <si>
    <t>Rayca</t>
  </si>
  <si>
    <t>Obrany przez gubernatora</t>
  </si>
  <si>
    <t>Nazwisko nieczytelne. Obrany przez gubernatora</t>
  </si>
  <si>
    <t>Piotr Noskowicz</t>
  </si>
  <si>
    <t>Bartłomiej Wiewiorski</t>
  </si>
  <si>
    <t>Rzecznik</t>
  </si>
  <si>
    <t>Urząd, rayca, rzecznik, burmistrz, grzywna, skarb, porządek, miesiąc, pilnowanie, pospólstwo</t>
  </si>
  <si>
    <t>Taksa</t>
  </si>
  <si>
    <t>Windykacja niepłaconych podatków</t>
  </si>
  <si>
    <t>Nic mu się nie chciało. Nie płacił podatków, bo mu się nie chciało. Zarekwirowali mu woły, ale ich nie wykupił, bo mu się nie chciało.</t>
  </si>
  <si>
    <t>Leyzer Izaakowicz</t>
  </si>
  <si>
    <t>Dyonizy Kołaczkiewicz</t>
  </si>
  <si>
    <t>Rzeźnik</t>
  </si>
  <si>
    <t>Bolowicz</t>
  </si>
  <si>
    <t>Wierzyciel</t>
  </si>
  <si>
    <t>Odebrał zł. 22</t>
  </si>
  <si>
    <t>Odebrał na Basarinek zł. 5</t>
  </si>
  <si>
    <t>Ad rationem kuraciey  zł. 3</t>
  </si>
  <si>
    <t>Podatki, woły, taksa, rzeźnik, mięso, dług, kuracya, wyborca, wykup, lenistwo</t>
  </si>
  <si>
    <t>Taksował woły</t>
  </si>
  <si>
    <t>Joannes Stanisiowski</t>
  </si>
  <si>
    <t>Archymagister Sartorum</t>
  </si>
  <si>
    <t>Noviter electus</t>
  </si>
  <si>
    <t>Joannes Dziedzicowic</t>
  </si>
  <si>
    <t>Antiquos Vicearchimagister Centuberny</t>
  </si>
  <si>
    <t>Antiquos Residentid Archymagister Pellicorum</t>
  </si>
  <si>
    <t>Antiquos Vicearchimagister</t>
  </si>
  <si>
    <t>Archimagister Contuberrny Laniorum</t>
  </si>
  <si>
    <t>Vicearchimagister Laniorum Contuberny antiqui</t>
  </si>
  <si>
    <t>Archimagister Fabrorum</t>
  </si>
  <si>
    <t>Vicearchimagister Fabrorum antiqui</t>
  </si>
  <si>
    <t>Archimagister Sutorum antiquus</t>
  </si>
  <si>
    <t>Sobestianus Gruszkowicz</t>
  </si>
  <si>
    <t>Vicearchimagister antiqvus</t>
  </si>
  <si>
    <t>Joannes Swisulski</t>
  </si>
  <si>
    <t>Brat skarbowy</t>
  </si>
  <si>
    <t>Pisarz cechowy</t>
  </si>
  <si>
    <t>Prosił cechmistrza o protestację na Swisulskiego - spotkała go odmowa.</t>
  </si>
  <si>
    <t>Nie pozwolił na protestację w sprawie Swisulskiego</t>
  </si>
  <si>
    <t>Posłał Młodszego bo tablicę, by wpisać protestację na Swisulskiego.</t>
  </si>
  <si>
    <t>Zamknęła się w komorze z tablicą, żeby uniemożliwić zapisanie protestacji</t>
  </si>
  <si>
    <t>Hamował Swisulskiego, w odpowiedzi dostał figę/</t>
  </si>
  <si>
    <t>Napisał protestrację na Dziedzicowicza za co znieważył go Swisulski. Nazwał go Bakałarzem na ostatku.</t>
  </si>
  <si>
    <t>Swisulski wyrzucił go z miejsca mówiąc, że on tu siedzieć powinien, bo starszy jest.</t>
  </si>
  <si>
    <t>Przyszedł pijany do cechu, przy Skarbie Braterskim zelżył Józefa Noskowicza. Śpiewał ligę na braci cechowych, pokazywał i różnymi słowami dyffamował. Na koniec wszystkim figę pokazał mowiąc: tak was się boję</t>
  </si>
  <si>
    <t>Pijany, cech, cechmistrz, cechmistrzowa, podcechmistrz, młodszy, brat skarbowy, pisarz cechowy, protestacja, stół, figa, komora, dyffamacja, bać się, być starszym, zakazać, nie pozwolić, gadać, tablica, zamknąć się</t>
  </si>
  <si>
    <t>Andrzej Kupiec</t>
  </si>
  <si>
    <t>Z Wielkiej Polski</t>
  </si>
  <si>
    <t>Dług, Wielka Polska, najęcie, konie, wóz, obrócić w niwecz, areszr urzędowy, nieposłuszeństwo, ucieczka, ujechanie, powrócenie, ugodzenie się, pretensje, zgoda, przystąpić do zgody, w mowie podrzeźniać, skonfundować, skarżenie.</t>
  </si>
  <si>
    <t>Najął konie z wozem od Koziałkowicza. Nie dość, że wozu nie oddał to konie w niwecz obrócił. Nie usłuchał aresztu i ujechał z miasta. Gdy wrócił, miał się godzić, ale w zamian zelżył Koziałkowicza i Noskowicza. Dodał, że może iść skarżyć na niego gdzie chce.</t>
  </si>
  <si>
    <t>Rekwizycja</t>
  </si>
  <si>
    <t>Izrael Pierzchowski</t>
  </si>
  <si>
    <t>Złożył skargę o stratę w postaci zawalenia ulicy Zatylniej Żydowskiej (od Rynku idącej) gnojem przez Rogozowicza. Skutkiem tego nie miał dojazdu do domu. Magistrat ocenił, że się mu mało gnój do sieni nie wali.</t>
  </si>
  <si>
    <t>Szkoda, ulica, ulica Zatylna Żydowska, Domy Rynkowe, gnój, sień, żyd, niewierny, przejazd, wóz, brak dojazdu, gnój w sieni, gront, kłaść, tak jak dawno bywała.</t>
  </si>
  <si>
    <t>Civis noster</t>
  </si>
  <si>
    <t>Przy konscie rzemiesła swego w domu prawie gościem zostaje. Miałby wakować i zaciągać się w niepłaceniu.</t>
  </si>
  <si>
    <t>Dom, gość, rzemiosło, bywać gościem w swoim domu.</t>
  </si>
  <si>
    <t>Wyjście Urzędu Zobopolnego</t>
  </si>
  <si>
    <t>Reina Ziembienska</t>
  </si>
  <si>
    <t>Jan Brzuchalski</t>
  </si>
  <si>
    <t>Grodza, ogród polny, stodoła, miedza, zorać, płot, grodzić się, jabłoń, antecesorowie, przykopa, łąka, granica, karzaki, krzak głogowy, stajanie, znaki, znaki pozabijać, poswarek, dyffamacja, przestępna strona, popędliwa do hałasu.</t>
  </si>
  <si>
    <t>Zatarg o granice</t>
  </si>
  <si>
    <t>Margarita Wincenta</t>
  </si>
  <si>
    <t>Wincenty</t>
  </si>
  <si>
    <t>Małżonek Margarity</t>
  </si>
  <si>
    <t>Cech kowalski, confranteria braterska, zapis ucznia, małżonek, izba, próg, stać na progu, nieudolne słowa, dyffamacja wielka, następować na, panowie bracia, odezwać się w dobry sposób, prosić do izby, skarb braterski, cechmistrz, nie chcieć iść, wyjść przez okno, wołać na cały cech, całować w rzyć, ulice</t>
  </si>
  <si>
    <t>Poszła do cechu, w którym odbywało się zaprzysięganie ucznia jej męża. Nie weszła do izby, stała w progu i wyzywała swego męża i brać cechową stojącą w jego obronie. Gdy zaproszono ją do wnętrza, wyszła na zewnątrz oknem uprzednio wołając, by całowali ją w dupę.</t>
  </si>
  <si>
    <t>Josephus Budzynski</t>
  </si>
  <si>
    <t>Probendarius Neo Visnicensis et Commendarius Praepositurae in Antiqua Wiśnicz</t>
  </si>
  <si>
    <t>Stephanus Szepinski</t>
  </si>
  <si>
    <t>Woyciech Ligocki</t>
  </si>
  <si>
    <t>Ksiądz, wikary i prowiz Staro Wiśnicki</t>
  </si>
  <si>
    <t>Jego służka została zbita kijem przez Szepinskiego za wyrwanie garnca chwastów na gruncie kościelnym. Ponadto został zelżony i szarpany publicznie.</t>
  </si>
  <si>
    <t>Zmienił zdanie co do asygnacji na kilka dziewek, bo wcześniej się nie przyjarzał odpowiednio. Przez Szepinskiego stracił 12 tys.</t>
  </si>
  <si>
    <t>Wyrąbał Budzynskiego na swoją potrzebę, miał od proboszcza asygnację na kilka dziewek. Odebrał swą sumę od konsystorza. Mieszkając w probostwie groził strzelaniem do każdego na gruncie proboskim. Wypasał i pustoszył łąki proboskie. Zabrał z probostwa wszystkie ruchomości</t>
  </si>
  <si>
    <t>Ksiądz Commendarz, rodzony Szepinskiego</t>
  </si>
  <si>
    <t>Proboszcz, wikary, ksiądz, plebania, probostwo, przytulać się, ważyć się, wyrąbać na swoją potrzebę, assygnacja, dziewki, źle się przyjrzeć, niedozwalać, konsystorz, suma, odebranie wydanej sumy, uproszenie, Stary Wiśnicz, ważyć się, fuzja, rodzony, porywać się, obiecywać, obaczyć, strzelać do, wymówic się pod przysięgą, służebnica, pretensja, prowizor, garniec, chwast, urwany, grunt kościelny, szarpać, zniewazać, świeccy ludzie, łąki, wypasać, pustoszyć, pozabierać wszystkie ruchomości, należeć do kościoła.</t>
  </si>
  <si>
    <t>Dziedzic Jaroszkowicza</t>
  </si>
  <si>
    <t>Jaroszkowiczowa</t>
  </si>
  <si>
    <t>Wdowa po Tomaszu Jaroszkowiczu, miała z nim dziecko, które zmarło - wyszła z sukcesji. Nie miała z czego urządzić pogrzebu zmarłemu dziecku, musiała wyprzedać majątek. Bezprawnie zastawiła ogród będący dziedzictwem po jej mężu.</t>
  </si>
  <si>
    <t>Dał w zastaw za ogród</t>
  </si>
  <si>
    <t>Dochodzenie dziedzictwa</t>
  </si>
  <si>
    <t>Zastaw, ogród polny, bratowa, sukcesja, nieboszczek, dziecię spłodzone, śmierć dziecka, pogrzeb dziecka, poprzedanie pracy, zasiew, żyto, snopki, wspólne żęcie, wspólne zażywanie, podzielić się, zapłacić, czynsz pański.</t>
  </si>
  <si>
    <t>Bratowa Ksiąszkowicza, żona zmarłego Tomasza Jaroszkowicz</t>
  </si>
  <si>
    <t>Obdukcja</t>
  </si>
  <si>
    <t>Agnes Zierkowska</t>
  </si>
  <si>
    <t>Mąż Agnieszki</t>
  </si>
  <si>
    <t>Syn Agnieszki</t>
  </si>
  <si>
    <t>Bronił matki przed ojczymem, niemal zginął od ciosu kołem dębowym</t>
  </si>
  <si>
    <t>Pobił swą żonę suchemi razami. Bił tak, by zabić</t>
  </si>
  <si>
    <t>Pobita tak, że nie ma gdzie jej szpilką tknąć - począwszy od wierzchu głowy aż do stóp.</t>
  </si>
  <si>
    <t>Przemoc, bicie, sieroty, rzepa, złapać z, małżonka, zabić, ogród, pochwycić, wołać gwałtu, bronić, bronić matki, matka, pasierb, ojczym, rodzina, koło dębowe, uchylić się, uniknąć śmierci, suche razy, szpilka, szpilką tknąć, głowa, wierzch głowy, stopy, ręce potłuczone.</t>
  </si>
  <si>
    <t>Casimirum Koziałkowicz</t>
  </si>
  <si>
    <t>Uczeń Kochankiewicza</t>
  </si>
  <si>
    <t>Obelga, pobicie, spór o grunt</t>
  </si>
  <si>
    <t>Pobił ucznia Kochankowicza, w trakcie krzyczał, że nie chce widzieć i mieć za sąsiada Kochankowicza, który ciśnie się na te grunta jak cuchnący pies</t>
  </si>
  <si>
    <t>Mieć rankor, uczeń, sciernia, magister, postronki, mieć razy, bok, żebra, krew, krwią nabiegły, spuchły, plecy zacięte, śmierdzieć, grunt, męka P. J. Chrystusa, męczennik, męczennikiem uczynić, bić bez miłosierdzia.</t>
  </si>
  <si>
    <t>Reisz</t>
  </si>
  <si>
    <t>Catharina Piątkowska</t>
  </si>
  <si>
    <t>Czeladnik Reisza</t>
  </si>
  <si>
    <t>Szedł do nowego młyna z workiem</t>
  </si>
  <si>
    <t>Kazał sługom wziąć czeladnika Reisza za kratę, nazwał go złodziejem</t>
  </si>
  <si>
    <t xml:space="preserve">Nazwał Michalskiego większym złodziejem od siebie i kazał oddać 50 złotych czerwonych. </t>
  </si>
  <si>
    <t>Jęczmykowicz</t>
  </si>
  <si>
    <t>Chrapek, co umarł, którym diabli trzęsą w piekle.</t>
  </si>
  <si>
    <t>Obelga, oskarżenie o złodziejstwo</t>
  </si>
  <si>
    <t>Rynek, dom, czeladnik, młyn, worek, słudzy, wziąć za kratę, okno, wyjrzeć oknem, kij, złodziej, przechowywać kogoś, robić szkodę, oddać dług, wytrzęść, kontusz, kradzieć, bankret, chrapek, umrzeć, diabli, diabli trzęsą po piekle, piekło, praca, trząść pracą, nieboszczyk, wspominać.</t>
  </si>
  <si>
    <t>Gorpelowiczowa</t>
  </si>
  <si>
    <t>Wolski</t>
  </si>
  <si>
    <t>Balcerowa</t>
  </si>
  <si>
    <t>Prosić, wyjście do szkody, szkoda, widzieć, owies, snopki, łąka, grunt, łąka stłuczona, kopa siana, zgodzić dobrowolnie bez prawa, brat, szkodę porobić, konie, żyd, konie żydowskie, prawować się, rozkazywać, odstępować.</t>
  </si>
  <si>
    <t>Brat Wolskiego</t>
  </si>
  <si>
    <t>Stefan Szempinski</t>
  </si>
  <si>
    <t>Małżonka Szempinskiego</t>
  </si>
  <si>
    <t>Szempinska</t>
  </si>
  <si>
    <t>Stanisław Michałkiewicz</t>
  </si>
  <si>
    <t>Ksiądz, Promotor Różańcowy Fary Nowo Wiśnickiej</t>
  </si>
  <si>
    <t>Zaproszony na chrzciny do Michalskiego</t>
  </si>
  <si>
    <t>Zaproszona na chrzciny do Michalskiego</t>
  </si>
  <si>
    <t>Zaprosił księdza, który dziecię chrzcił</t>
  </si>
  <si>
    <t>Zapraszał na chrzciny, ale  był w ich trakcie nieobecny</t>
  </si>
  <si>
    <t>Szwagier Michalskiego</t>
  </si>
  <si>
    <t>Rogozowiczowa</t>
  </si>
  <si>
    <t>Budzynski</t>
  </si>
  <si>
    <t>Ksiądz</t>
  </si>
  <si>
    <t>Miał zatarg z Szempinskim.</t>
  </si>
  <si>
    <t>Zaproszony na chrzciny do Michalskiego. Miał zatarg z księdzem Budzynskim i księdzem Lichockim, Michałkiewicz namawiał do pojednania. Nie chciał się godzić, nie był winny. Pod protekcją księcia, budował się chcąc być obywatelem.</t>
  </si>
  <si>
    <t>Zaproszony na chrzciny do Michalskiego. Zarzucił Szempinskiego przynależenie do ziemi. Obgadywał go publicznie, dyffamował. Obraził magistrat stojący po stronie Szempinskiego. Zwyzywał żonę Szempinskiego, która próbowała go uspokoić: "Co ty kutrwo publiczna wyjebana czarownico odpowiadasz mi księciem. Co ja się księcia boję...". Włożył rękę w sutannę i rzekł: "Tu ja w portkach tak księcia jako i księżnę noszę y w dupie się ich boję. Ciskał w nią antałkiem, konefką i stołkiem. Wyzywał od kurew i czarownic, groził dowiedzeniem jej czarostwa - wraz z pozostąłymi księżmi. Próbował zabić ją szablą wiszącą na ścianie. Rozbrojony skoczył na ławę, wybił okno i krzyczał gwałtu choć nikt mu nic nie robił.</t>
  </si>
  <si>
    <t>Brat rodzony Stanisława Michałkiewicza</t>
  </si>
  <si>
    <t>Usłyszał krzyki Stanisława, przybiegł na pomoc. Gdy zoreintował się w sytuacji zaczął strofować brata. Brat go "pokopał pokleytuchtał pośmierdziuchał poświniał"</t>
  </si>
  <si>
    <t>Zaproszona na chrzciny do Michalskiego. Co tak mną, księże, trzęsiesz? Ja choć na wsi teraz siedzę, to pod ochroną księcia jestem.</t>
  </si>
  <si>
    <t>Mięso?</t>
  </si>
  <si>
    <t>Obelga, pobicie, próba zabójstwa</t>
  </si>
  <si>
    <t>Syn Koziałkowicza</t>
  </si>
  <si>
    <t>Miskowicz</t>
  </si>
  <si>
    <t>Skorczeński</t>
  </si>
  <si>
    <t>Pasterka Skorczeńskiego</t>
  </si>
  <si>
    <t>Został pobity przez Koziałkiewicza o rankor na syna</t>
  </si>
  <si>
    <t>Blasius Gizicki</t>
  </si>
  <si>
    <t>Koziałkowiczowa</t>
  </si>
  <si>
    <t>Żona Koziałkowicza</t>
  </si>
  <si>
    <t>Miała dziecię na rękach</t>
  </si>
  <si>
    <t>Dochodzenie szkody, pobicie</t>
  </si>
  <si>
    <t>Córka Bolowicza</t>
  </si>
  <si>
    <t>Pasienie, bydło, pole, żyto, syn, jagody, krzaki, bawić się, szkoda, wyjście do szkody, ugor, konie, snopki, sąsiad, owies, pole, kopy, uczeń, ściernisko, powróz, zagon, szpilka, pasterka, dom, pobicie, rankor, syn, dziewka, miedza, grunt Pęgowskiego, szarpać, sierp, dziecię, szarpać się, dać pięścią w głowę, brzemiączko, dzik.</t>
  </si>
  <si>
    <t>Hedvigis Palarka</t>
  </si>
  <si>
    <t>Przyszła żąć</t>
  </si>
  <si>
    <t>Kochankowiczowa</t>
  </si>
  <si>
    <t>Małżonka Kochankowicza</t>
  </si>
  <si>
    <t>Obraziła Koziałkowicza</t>
  </si>
  <si>
    <t>Odpowiedział na wyzwiska Kochankowiczowej, podobno ją uderzył. Potem obrażali swoje dzieci</t>
  </si>
  <si>
    <t>Dochodzenie szkody, pobicie, obelga</t>
  </si>
  <si>
    <t>Ogród, konie, kapusta, krzaki, szkoda, wóz, wieś, płot, woły, owies, kopy, chłopiec, pogodzić, pozew, pobicie, przeprosiny, kłaniać się, opierać się, dom, piwo, gorlić się, okno, izba, mąż, dyffamować, skurwysyn, bełkot, kiep, gardzielowata, obelgi, uderzyć, znieważać, turbować.</t>
  </si>
  <si>
    <t>Albertus Kołaczkiewicz</t>
  </si>
  <si>
    <t>Proconsul</t>
  </si>
  <si>
    <t>Obelga, niewywiązanie się z obowiązków urzędowych</t>
  </si>
  <si>
    <t>Szkoda, wyjście do szkody, honor</t>
  </si>
  <si>
    <t>Magister cechowy</t>
  </si>
  <si>
    <t>Pobił ucznia Kochankowicza w zemście za to, że pobił on jego syna. Gdyby najpierw doniósł do sądu na pobicie, mógłby się zemścić, ale dyskretnie.</t>
  </si>
  <si>
    <t xml:space="preserve">Uczeń, magister, pobicie, zemsta, syn, dyffamacja, dyskretna zemsta, samosąd, własna sprawiedliwość, zboże, dokument, świadectwo, wyjście urzędowe, woły, zniewaga. </t>
  </si>
  <si>
    <t>Łukaszewska</t>
  </si>
  <si>
    <t>Muszynska</t>
  </si>
  <si>
    <t>Noskowicz</t>
  </si>
  <si>
    <t>Pole, świnie, marchew, wieprz, chłopiec.</t>
  </si>
  <si>
    <t>Syn Łukaszewskiej</t>
  </si>
  <si>
    <t>Obelga, pobicie, dochodzenie szkody</t>
  </si>
  <si>
    <t>Zniewaga, marchew, świnie, zajmowanie świń, honor, uderzyć, chłopiec, syn, szkoda, rekwirowanie, ratusz, przeprosiny, pobicie.</t>
  </si>
  <si>
    <t>Chłopiec, krewny żony Wolskiego</t>
  </si>
  <si>
    <t>Szwagier chłopca</t>
  </si>
  <si>
    <t>Szkoda, palarze, krowy paść, owies, snopki, łąka, uzurpować szkodę, krowy żydowskie, sąsiedzi, chłopiec, krewny, szwagier, parkan.</t>
  </si>
  <si>
    <t>Sebastianus Gruszkowicz</t>
  </si>
  <si>
    <t>Syn Noskowicza</t>
  </si>
  <si>
    <t>Został pobity, winny rzekomo Ziembienski</t>
  </si>
  <si>
    <t>Fasugowicz</t>
  </si>
  <si>
    <t>Pobicie, syn, świnie, plecy, ręce, dom, prosić do domu.</t>
  </si>
  <si>
    <t>Zasadzać się z kijem, kij, sąsiad, dyffamacja, ogród, pobicie, obdukcja.</t>
  </si>
  <si>
    <t>Taborkowicz</t>
  </si>
  <si>
    <t>Hiacintus Czempurski</t>
  </si>
  <si>
    <t>Bartholomeus Pytkiewicz</t>
  </si>
  <si>
    <t>Pole, owies, konie.</t>
  </si>
  <si>
    <t>Andreas Ziembienski</t>
  </si>
  <si>
    <t>Vincentius Heindel</t>
  </si>
  <si>
    <t>Wiewiórska</t>
  </si>
  <si>
    <t>Małżonka Wiewiórskiego</t>
  </si>
  <si>
    <t>Cech, cecha, dom, gęba, psubrat, war, oczy, wyparzyć warem oczy, upominać się długu</t>
  </si>
  <si>
    <t>Dochodzenie długu, obelga</t>
  </si>
  <si>
    <t>Andrzej Ziembienski</t>
  </si>
  <si>
    <t>Cech kowalski, brat cechowy, ugoda, cecha, zniewaga.</t>
  </si>
  <si>
    <t>Ustęp, dekret, obelga, krawców, Wieliczka.</t>
  </si>
  <si>
    <t>Martinus Łobodzienski</t>
  </si>
  <si>
    <t>Joannis Stanisiowski</t>
  </si>
  <si>
    <t>Consul</t>
  </si>
  <si>
    <t>Albertus Fiałkowski</t>
  </si>
  <si>
    <t>Błazei Gizicki</t>
  </si>
  <si>
    <t>Budowa stodoły</t>
  </si>
  <si>
    <t>Dom, zatyłek, gościniec, stodoła, grunt.</t>
  </si>
  <si>
    <t>Stanislaus Michałkiewicz</t>
  </si>
  <si>
    <t>Mansionarius Neo Visnicensis</t>
  </si>
  <si>
    <t>Porozumienie, żona, niegodziwość, ksiądz, ratusz, pobicie.</t>
  </si>
  <si>
    <t>Gocowicz</t>
  </si>
  <si>
    <t>Herszl</t>
  </si>
  <si>
    <t>Kasata protestacji</t>
  </si>
  <si>
    <t>Zgoda, zakołatać do serca, Pan Bóg Wszechmogący, pretensje, kłótnie, terminy.</t>
  </si>
  <si>
    <t>Wielmożna</t>
  </si>
  <si>
    <t>Wielmożny</t>
  </si>
  <si>
    <t>Budzianski</t>
  </si>
  <si>
    <t>Joannis Trybulski</t>
  </si>
  <si>
    <t>Nawóz, swoim kosztem, wiosna, jesień, siać, jęczmień, oranie, ugor.</t>
  </si>
  <si>
    <t>Szwagier Trybulskiego</t>
  </si>
  <si>
    <t>Brat młodszy Jana Trybulskiego</t>
  </si>
  <si>
    <t>Dziedziec ojczyczny, mieszka poza Nowym Wiśniczem - z tego powodu nie może dziedzieczyć.</t>
  </si>
  <si>
    <t>Nawóz, swoim kosztem, wiosna, jesień, siać, jęczmień, oranie, ugor, umowa ustna, prowizja, ojczyzna, szwagier, sukcesja, młodszy brat, ograniczne państwo, pułdomek, sprowadzić się.</t>
  </si>
  <si>
    <t>Contubernium Sutorum Neo Visnicense</t>
  </si>
  <si>
    <t>Contubernium Sutorum Lipnicense</t>
  </si>
  <si>
    <t>Nieposzanowanie umowy</t>
  </si>
  <si>
    <t>Woyciech Zawarski</t>
  </si>
  <si>
    <t>Radca</t>
  </si>
  <si>
    <t>Cech Szewski Lipnicki</t>
  </si>
  <si>
    <t>Cech Szewski Nowowiśnicki</t>
  </si>
  <si>
    <t>Jarmark, Lipnica, Nowy Wiśnicz, postanowienie, cech szewski, towarz, sprzedaż, kupowanie, miasto, przeszkoda, zabraniać, świerk.</t>
  </si>
  <si>
    <t>Jarmark, Lipnica, Nowy Wiśnicz, postanowienie, cech szewski, towarz, sprzedaż, kupowanie, miasto, przeszkoda, zabraniać, świerk, konfiskata towarów.</t>
  </si>
  <si>
    <t>Archimagister Contuberny Sartorum</t>
  </si>
  <si>
    <t>Vicearchimagister Contuberny Sartorum</t>
  </si>
  <si>
    <t>Archimagister Contuberny Pelliceorum</t>
  </si>
  <si>
    <t>Vicearchimagister Contuberny Pelliceorum</t>
  </si>
  <si>
    <t>Vicearchimagister Contuberny Laniorum</t>
  </si>
  <si>
    <t>Antiqui approban</t>
  </si>
  <si>
    <t>Archimagister Contuberny Fabrorum</t>
  </si>
  <si>
    <t>Vicearchimagister Contuberny Fabrorum</t>
  </si>
  <si>
    <t>Archimagister Contuberny Pistorum</t>
  </si>
  <si>
    <t>Vicearchimagister Contuberny Pistorum</t>
  </si>
  <si>
    <t>Archimagister Contuberny Pannitextorum</t>
  </si>
  <si>
    <t>Vicearchimagister Contuberny Pannitextorum</t>
  </si>
  <si>
    <t>Ksiądz, fara, różaniec, chrzciny, dom, zaproszenie, niebytność, grzeczność, dziecię, rodzina, możność, świadczyć dobry afekt, szwagier, traktament, dyskursy, wszcząć mowę, pogodzić się, protekcja, książe, księżna, turbowanie, bać się, honor, tykać się honoru, turbować, grunt, budowanie się, wola, z woli, dyffamować, awans społeczny, publiczne słowa, kpi, szelmowie, kanalie, magistrat, gospodarz, mitygować, słowa zelżywe, miasto, ludzie, nogi, nogami tempac, lżyć, kurwa, kurwa publiczna wyjebana, czarownica, łaska, sutanna, odchylić sutannę, włożyć ręke do portek, dupa, nosić w dupie, dać w gębę, Pan Bóg Ukrzyżowany, hamować, jeść z łąski chleb, stół, świeca, konefka, cisnąć, uderzyć, oko, antał, porwać, cisnąć, izba, rozsypać się, stołek, połamać, dowieść czarostwa, poprzysiąść, szabla, dobyć szabli, ciąć, zabić, ława, okno, wołać gwałtu, sito, mąka, brat rodzony, strofować, pokopać, pokleytuchać, pośmierdziuchać, poświniuchać, dać w pysk, trząsać się kogoś, wieś, siedzieć na wsi, rynek, dać postronkami, kuna, szyja, wisieć za szyję, konsystorz, skurwysyn, sądy.</t>
  </si>
  <si>
    <t>Josephus Piątkowski</t>
  </si>
  <si>
    <t>Notariusz</t>
  </si>
  <si>
    <t>Wit Heindel</t>
  </si>
  <si>
    <t>Kotlarz</t>
  </si>
  <si>
    <t>Handelowa</t>
  </si>
  <si>
    <t>Kotlarka</t>
  </si>
  <si>
    <t>Małżonka Hendela</t>
  </si>
  <si>
    <t>Zwyzywała urzędników</t>
  </si>
  <si>
    <t xml:space="preserve">Rewizja, regestr, miasto, dom, dyffamacja, chłopiec, dziewczyna, urzędnik, diabeł, wójt, radcy. </t>
  </si>
  <si>
    <t>Zwyzywał burmistrza po pijaku, wytknął mu, że w przeszłości wypasał cielęta i krowy.</t>
  </si>
  <si>
    <t>Wójt, burmistrz, dom, sesja, pospólstwo, rządzić się, krzyczeć, konfundować, wielki pan, cielęta, krowy, dyffamować, pijany.</t>
  </si>
  <si>
    <t>Antiquae Residentiae</t>
  </si>
  <si>
    <t>Dochodzenie szkody, pogwałcenie kontraktu</t>
  </si>
  <si>
    <t>Kontrakt, plac zgorzały, plac Pęgowski, orać, siać, pług.</t>
  </si>
  <si>
    <t>Zgorzały plac zwany był Pęgowskim</t>
  </si>
  <si>
    <t>Regestr</t>
  </si>
  <si>
    <t>Reyszowa</t>
  </si>
  <si>
    <t>Turowski</t>
  </si>
  <si>
    <t>Mieszczanin krakowski</t>
  </si>
  <si>
    <t>Otaksowanie</t>
  </si>
  <si>
    <t>Inwentarz, cech krawiecki, mieszczanin krakowski, taxa, Kraków</t>
  </si>
  <si>
    <t>Działo się w Krakowie 26 lutego 1728</t>
  </si>
  <si>
    <t>Marcin Gierynk</t>
  </si>
  <si>
    <t>Stanisław Smolik</t>
  </si>
  <si>
    <t>Magistrat</t>
  </si>
  <si>
    <t>Bartolomeus Wiewiorski</t>
  </si>
  <si>
    <t>Targowniczka</t>
  </si>
  <si>
    <t>Sierota</t>
  </si>
  <si>
    <t>Wydała kilkadziesiąt złotych na naprawę ratusza</t>
  </si>
  <si>
    <t>Syn Bartłomieja Wiewiorskiego</t>
  </si>
  <si>
    <t>Usługuje na dwórze</t>
  </si>
  <si>
    <t>Groził zdobyciem dożywocia na miejscu targowym poprzez kontakt z księciem. Jego syn służył na jego dworze.</t>
  </si>
  <si>
    <t>Sierota, ratusz, naprawa, datek, miejsce targowe, dożywocie, syn, nepotyzm, książe.</t>
  </si>
  <si>
    <t>Consul noster</t>
  </si>
  <si>
    <t>Advocatum Neo Visnicensis'</t>
  </si>
  <si>
    <t>Pachołek zamkowy</t>
  </si>
  <si>
    <t>Szempinski</t>
  </si>
  <si>
    <t>Hamerska</t>
  </si>
  <si>
    <t>W Piotrkowie</t>
  </si>
  <si>
    <t>Piotrków, ustne zlecenie, pismo, pachołek zamkowy, mowa, areszt, wydać pozew, przysięga, testymonium.</t>
  </si>
  <si>
    <t>Dalniebarz</t>
  </si>
  <si>
    <t>Nazwisko niepewne</t>
  </si>
  <si>
    <t>Owies, konie, wypasanie.</t>
  </si>
  <si>
    <t>Swisulska</t>
  </si>
  <si>
    <t>Swisulski</t>
  </si>
  <si>
    <t>Małżonek Swisulskiej</t>
  </si>
  <si>
    <t>Chmiel, targ, mąż, sprzedaż, krzywda.</t>
  </si>
  <si>
    <t>Nie chciała wydać chmielu sprzedanego przez męża. Uważał, że sprzedał go za tanio.</t>
  </si>
  <si>
    <t>Catharina Swisulska</t>
  </si>
  <si>
    <t>Kradzież, chmiel, mąż.</t>
  </si>
  <si>
    <t>Michalkiewicz</t>
  </si>
  <si>
    <t>Proso, szkoda, snopki, marchew, świnie.</t>
  </si>
  <si>
    <t>Pannowicz</t>
  </si>
  <si>
    <t>Chłopiec P. Pannowicza</t>
  </si>
  <si>
    <t>Pannowiczowa</t>
  </si>
  <si>
    <t>Małżonka Pannowicza</t>
  </si>
  <si>
    <t>Uciekł z aresztu, do którego trafił za eksces</t>
  </si>
  <si>
    <t>Eksces, ucieczka, więzienie, małżonka, chłopiec, słudzy.</t>
  </si>
  <si>
    <t>Bolowiczowa</t>
  </si>
  <si>
    <t>Dziewka Szempinskiego</t>
  </si>
  <si>
    <t>Płot, dziura, koń.</t>
  </si>
  <si>
    <t>Prosię, świnia, zastrzelić, pasterz, szkoda.</t>
  </si>
  <si>
    <t>Joannes Stanisiewski</t>
  </si>
  <si>
    <t>Wójt</t>
  </si>
  <si>
    <t>Dom, bić, Kraków, zabić.</t>
  </si>
  <si>
    <t>Rogozowicz pozwał go o dług</t>
  </si>
  <si>
    <t>Burmistrz, dług, dać z siebie przykład dobry, więzienie ratuszowe, szlachta, mieszczanie, pospólstwo.</t>
  </si>
  <si>
    <t>Wsadzona za kraty bez zgody magistratu</t>
  </si>
  <si>
    <t>Pospólstwo, ratusz, białogłowa, słowo białogłowskie, małżonka, krata, koligacja.</t>
  </si>
  <si>
    <t>Nadużycie władzy</t>
  </si>
  <si>
    <t>Jacobus Gocowicz</t>
  </si>
  <si>
    <t>Dąbrowska</t>
  </si>
  <si>
    <t>Małżonka Dąbrowskiego</t>
  </si>
  <si>
    <t>Wiaszkowicz</t>
  </si>
  <si>
    <t>Teść Gocowicza</t>
  </si>
  <si>
    <t>Gocowiczowa</t>
  </si>
  <si>
    <t>Małżonka Gocowicza</t>
  </si>
  <si>
    <t>Jej suknia była w zastawie u Żydów. Podobno Skorczewski kupił ją u niej.</t>
  </si>
  <si>
    <t>Chciał wykupić z zastawu suknię, prosił o pomoc teścia, ten odmówił.</t>
  </si>
  <si>
    <t>Dochodzenia zastawu</t>
  </si>
  <si>
    <t>Teść, żona, rodzic, sukienka, zastaw, żydzi.</t>
  </si>
  <si>
    <t>Małżonek Dąbrowskiej</t>
  </si>
  <si>
    <t>Florianus Nowakowski</t>
  </si>
  <si>
    <t>Thomasz Ziembinski</t>
  </si>
  <si>
    <t>Żona, sukienka, zastaw, mąż, przyjaciel, żydzi.</t>
  </si>
  <si>
    <t>Matka Ziembinskiego</t>
  </si>
  <si>
    <t>Ojczym Ziembinskiego</t>
  </si>
  <si>
    <t>Nie chiał kłaniać się Nowakowskiemu, bo nie był mu ojcem</t>
  </si>
  <si>
    <t>Honor, matka, ojczym, ojciec, honor, kłaniać się, dyffamować, szarawary.</t>
  </si>
  <si>
    <t>Thomas Ziembienski</t>
  </si>
  <si>
    <t>Ojczym Ziembienskiego</t>
  </si>
  <si>
    <t>Żona Tomasza Ziembienskiego</t>
  </si>
  <si>
    <t>Matka Ziembienskiego</t>
  </si>
  <si>
    <t>Krzyczała, by Ziembienska uciekała przed Nowakowskim</t>
  </si>
  <si>
    <t>Groził, że strzeli w łeb pasierbowi i jego żonie</t>
  </si>
  <si>
    <t>Florian Nowakowski oskarzył ją o zajście w ciąże z innym mężczyzną. Potem chciał rąbać ją szablą i laską bić.</t>
  </si>
  <si>
    <t>Brzuch, ciąża, bękart, ojczym, pasierb, matka, żona, ojciec, parobek, przyjaciel, sąsiad, szabla, laska, bicie, rąbanie, ucieczka, strzelić w łeb.</t>
  </si>
  <si>
    <t>Ryncarzewicz</t>
  </si>
  <si>
    <t>Brat cechowy</t>
  </si>
  <si>
    <t>Obraza, niewywiązanie się z obowiązków cechowych</t>
  </si>
  <si>
    <t>Cech, cecha, cechmistrz, diabły, bać się, zjeść diabły, żydzi, chlubić się.</t>
  </si>
  <si>
    <t>Arendarz Młyna Konskiego</t>
  </si>
  <si>
    <t>Brzuchalska</t>
  </si>
  <si>
    <t>Małżonka Brzuchalskiego</t>
  </si>
  <si>
    <t>Wódka, młyn, arendarz, żyd, kufa, wódka, pszenica, targ</t>
  </si>
  <si>
    <t>Dochodzenie szkody, robienie wódki bez licencji</t>
  </si>
  <si>
    <t>Josephus Ziembinski</t>
  </si>
  <si>
    <t>Reina Rogozowiczowa</t>
  </si>
  <si>
    <t>Ziembinska</t>
  </si>
  <si>
    <t>Małżonka Ziembinskiego</t>
  </si>
  <si>
    <t>Oskarzyła Ziembinską o osucie, zaszkodzenie na zdrowiu i odebranie pokarmu.</t>
  </si>
  <si>
    <t>Jan</t>
  </si>
  <si>
    <t>Małżonka wójta</t>
  </si>
  <si>
    <t>Manika</t>
  </si>
  <si>
    <t>Rozpowiadała plotki o Ziembinskiej i Ziembińskim. Nazwała go jąkaczem i świniarzem.</t>
  </si>
  <si>
    <t xml:space="preserve"> </t>
  </si>
  <si>
    <t>Plotka, żona, mąż, wójt, wójtowa, świnie, szkoda, szkodzenie na zdrowiu, odebranie pokarmu, dziecię, jąkacz, świniarz.</t>
  </si>
  <si>
    <t>Reyna Poborska</t>
  </si>
  <si>
    <t>Służka Zierkowskiej</t>
  </si>
  <si>
    <t>Browarnik</t>
  </si>
  <si>
    <t>Woyciech</t>
  </si>
  <si>
    <t>Sługa Rogozowicza</t>
  </si>
  <si>
    <t>Groził Reginie Poborskiej rozcięciem konwii.</t>
  </si>
  <si>
    <t>Stanislaus Piątkowicz</t>
  </si>
  <si>
    <t>Browar, obierki, żydzi, konwie, służka, sługa.</t>
  </si>
  <si>
    <t>Jego browar wakuje, ludzie nie byli zadowoleni z niego jako piwowara. Nie płacił podatku od 20 maja 1718.</t>
  </si>
  <si>
    <t>Tylko w jego browarze piwo robią. Nie płacił podatku od 20 maja 1718.</t>
  </si>
  <si>
    <t>Sędzia</t>
  </si>
  <si>
    <t>Browar, wakat, podatki, ruina, konwie, piwo, dobiorki, zły przykład, sędzia, niezadowlenie, piwowar, sadzawski, woda piękna, pospólstwo, wygoda.</t>
  </si>
  <si>
    <t>Groźba, kompromis browarników</t>
  </si>
  <si>
    <t>Groźba</t>
  </si>
  <si>
    <t>Konwie rozcinać, przeszkoda, piwo, dobiórka.</t>
  </si>
  <si>
    <t>Browar, zamykać na kłódkę, osoby duchowne.</t>
  </si>
  <si>
    <t>Agnetis Zerkowska</t>
  </si>
  <si>
    <t>Zofia Lubicka</t>
  </si>
  <si>
    <t>Michalska</t>
  </si>
  <si>
    <t>Z domu Pobiednicka</t>
  </si>
  <si>
    <t>Bękart, kurwa publiczna, śmierdziucha, żona teraźniejsza, szlachcianka, kamienica</t>
  </si>
  <si>
    <t>Wyzywała Michalską od kurew, twierdziła, że nie jest prawdziwą córką jej ojca. Twierdziła, że jest szlachcianką i do niej należy kamienica, w której mieszkali Michalscy.</t>
  </si>
  <si>
    <t>Córka Zerkowskiej</t>
  </si>
  <si>
    <t>Małżonka Michalskiego</t>
  </si>
  <si>
    <t>Podważała szlachectwo pani Michalskiej.</t>
  </si>
  <si>
    <t>Naśmiewał się z obelg swej żony</t>
  </si>
  <si>
    <t>Małżonek Zofii Lubickiej</t>
  </si>
  <si>
    <t>Zierkowska</t>
  </si>
  <si>
    <t>Lubicka</t>
  </si>
  <si>
    <t>Magdalena Perzowska</t>
  </si>
  <si>
    <t>Agnes Katniewiczowa</t>
  </si>
  <si>
    <t>Mathias Tribulski</t>
  </si>
  <si>
    <t>Małżonek Zierkowskiej</t>
  </si>
  <si>
    <t>Wyzywała Michalskich spowodu rozpościerania się w jej pościeli.</t>
  </si>
  <si>
    <t>Pościel bawełniania, malarka, podsienie, kurwa publiczna, skurwysyn.</t>
  </si>
  <si>
    <t>Joannes Knorowicz</t>
  </si>
  <si>
    <t>Syn Michalskiej</t>
  </si>
  <si>
    <t>Ojczym Knorowicza</t>
  </si>
  <si>
    <t>Agnes Jaszczykowna</t>
  </si>
  <si>
    <t>Służka Michalskiej</t>
  </si>
  <si>
    <t>Kurwa, pijaczka, matka, szelma, trzewik, pysk obić, pijaczka, płacz.</t>
  </si>
  <si>
    <t>Marianna Michalska</t>
  </si>
  <si>
    <t>Bękart, niepoczciwe urodzenie, honor, matka dzieci, dyffamować, plotka, słowo uszczypliwe, siuta.</t>
  </si>
  <si>
    <t>Choćby pod pręgierzem miał wziąć sto plag, nie będzie przepraszać żony Michalskiego</t>
  </si>
  <si>
    <t>Obelga, nieuznanie dekretu</t>
  </si>
  <si>
    <t>Pręgierz, plagi, przepraszanie, żona.</t>
  </si>
  <si>
    <t>Po rozprawie krzyczała do Michalskiego, że na jego ojca (ty mydłoniu) na zamku w Krakowie dzwoniono.</t>
  </si>
  <si>
    <t>Ojciec, mydlarz, zamek, Kraków, dzwonić na zamku.</t>
  </si>
  <si>
    <t>Anna Sierawska</t>
  </si>
  <si>
    <t>Sługa Michalskiego</t>
  </si>
  <si>
    <t>Lubicka groziła mu wybiciem zębów kamieniem.</t>
  </si>
  <si>
    <t>Reina Sierawska</t>
  </si>
  <si>
    <t>Waligurski</t>
  </si>
  <si>
    <t>Wołała na Michalskiego: Tyś Mydalrz a my Panny Knorowiczowny, oto w naszey pracy chodzisz i siedzisz. Zwyzywała Waligorskiego od psów i hultajów, skurwysynów.</t>
  </si>
  <si>
    <t>Zofia Rudkiewiczowa</t>
  </si>
  <si>
    <t>Teresa Gruszkowiczowa</t>
  </si>
  <si>
    <t>Izral Dołuszycki</t>
  </si>
  <si>
    <t>Wołała na Michalskiego: Tyś Mydalrz a my Panny Knorowiczowny, oto w naszey pracy chodzisz i siedzisz. Odchyliła spódnicę i kazała się całować.</t>
  </si>
  <si>
    <t>Dał Lubickiemu w gębę, dodał, że może go uderzyć raz jeszcze i zapłacić za to.</t>
  </si>
  <si>
    <t>Lubicka i Dziedzicowiczowa wykrzyknęły, że będzie zbierać po Krakowie psie gówno na mydło. Nazwały go złodziejem, oskarżyły jego siostrę o kradzież kukiełek, chleba, pieczeni, szroty mięsa. Całą rodzinę od złodziei wyzwała i dodała, że nie są godni być w ich rodzie.</t>
  </si>
  <si>
    <t>Franciscus Tarasik</t>
  </si>
  <si>
    <t>Uderzył Dziedzicowiczową toporzyskiem. Wysłał go Pan Dobrodziej, żeby pilnował spokoju</t>
  </si>
  <si>
    <t>Mydlarz, panny Knorowiczowny, praca nasza, kamienica, kontusz, sługa, wybić zębu kamieniem, skurwysyn, hałas, rynek, jatka, ratusz, paprze, ojciec, spódnica, całowanie, pasja, kościół, Kraków, zbierać psie gówna, gęba, mydło, złodziej, kukiełki, chleb, pieczenie, szroty mięsa, szalbierz, wykrętarz, goły zadek.</t>
  </si>
  <si>
    <t>Pokzała twarz spodnią - zadek</t>
  </si>
  <si>
    <t>Twarz spodnia, dyffamować, nachodzić, mąż, żona.</t>
  </si>
  <si>
    <t>Anna Jarecka</t>
  </si>
  <si>
    <t>Konicki</t>
  </si>
  <si>
    <t>Służka Konickiego</t>
  </si>
  <si>
    <t>Kowal zamkowy</t>
  </si>
  <si>
    <t>Odejście ze służby</t>
  </si>
  <si>
    <t>Kmiecie, zapłata, kowal, służba, służka.</t>
  </si>
  <si>
    <t>Joannes Brzuchalski</t>
  </si>
  <si>
    <t>Adalbertus Philipkiewicz</t>
  </si>
  <si>
    <t>Mieszczanin Dobczycki</t>
  </si>
  <si>
    <t>Stanisław</t>
  </si>
  <si>
    <t>Sukiennik, był żółnierzem</t>
  </si>
  <si>
    <t>Czeladnik Brzuchalskiego</t>
  </si>
  <si>
    <t>Sukiennik, żołnierz, zabić, żupan, gardło, pas, czapki, kij, czeladnik, głowy.</t>
  </si>
  <si>
    <t>Manifestacja</t>
  </si>
  <si>
    <t>Adalbertus Philipkowicz</t>
  </si>
  <si>
    <t>Stanislaus Grocholski</t>
  </si>
  <si>
    <t>Policzki, czapki, pasy.</t>
  </si>
  <si>
    <t>Michael Biedron</t>
  </si>
  <si>
    <t>Siostra Reiszowej</t>
  </si>
  <si>
    <t>Żołnierz, sień, głowa, bicie, czapki, pasy,</t>
  </si>
  <si>
    <t>Joannis Brzuchalski</t>
  </si>
  <si>
    <t>Woyciech Philipkowicz</t>
  </si>
  <si>
    <t>Zięć Wojciecha, z Dobczyc</t>
  </si>
  <si>
    <t>Sobestianus Sroczenski</t>
  </si>
  <si>
    <t>Symon Wolski</t>
  </si>
  <si>
    <t>Żołnierz, sień, głowa, bicie, czapki, pasy, kij, laska.</t>
  </si>
  <si>
    <t>Philipkowicz</t>
  </si>
  <si>
    <t>Obywatel Dobczycki</t>
  </si>
  <si>
    <t>Grocholski</t>
  </si>
  <si>
    <t>Pobicie, dochodzenie długu</t>
  </si>
  <si>
    <t>Dług, pobicie, żupan, sukiennik, obywatel, Dobczyce.</t>
  </si>
  <si>
    <t>Olchawski</t>
  </si>
  <si>
    <t>Skrypt</t>
  </si>
  <si>
    <t>Dochodzeniu długu</t>
  </si>
  <si>
    <t>Kulizewiczowa</t>
  </si>
  <si>
    <t>Syn Kulizewiczowej</t>
  </si>
  <si>
    <t>Uczeń Sowinskiego</t>
  </si>
  <si>
    <t>Pobity przez swego magistra</t>
  </si>
  <si>
    <t>Uczeń, syn, nieposłuszństwo, dyffamować, chłopiec, ucieczka, robota.</t>
  </si>
  <si>
    <t>Szepinski</t>
  </si>
  <si>
    <t>Zdobycie świadków</t>
  </si>
  <si>
    <t>Dąb</t>
  </si>
  <si>
    <t>Prowizja, Bractwo Józefa Świętego, browar, burmistrz, piwo, magistrat, dobra.</t>
  </si>
  <si>
    <t>Dekret aprobowany przez Zwierzchność Zamkową 11 maja 1729</t>
  </si>
  <si>
    <t>Bractwo Józefa Świętego</t>
  </si>
  <si>
    <t xml:space="preserve"> Antoni Poborski</t>
  </si>
  <si>
    <t>Antoni Poborski</t>
  </si>
  <si>
    <t>Jakub Piwowarczyk</t>
  </si>
  <si>
    <t>Służka Poborskiego</t>
  </si>
  <si>
    <t>Córka Piwowarczyka</t>
  </si>
  <si>
    <t>Umowa, służba, córka, odejście ze służby, zapłata.</t>
  </si>
  <si>
    <t>Jakub Skorubski</t>
  </si>
  <si>
    <t>Ogród, zastaw, kompromis.</t>
  </si>
  <si>
    <t>Obelga, zniszczenie mienia</t>
  </si>
  <si>
    <t>Konsensus, ogród, burzenie, dyffamacja.</t>
  </si>
  <si>
    <t>Adalbertus Zawarski</t>
  </si>
  <si>
    <t>Prawa, koledzy, poniewierać, ulica.</t>
  </si>
  <si>
    <t>Petrus Pacinkowski</t>
  </si>
  <si>
    <t>Sługa Brzuchalskiego</t>
  </si>
  <si>
    <t>Parobek Brzuchalskiego</t>
  </si>
  <si>
    <t>Matias Miskowicz</t>
  </si>
  <si>
    <t>Blasius Pannowicz</t>
  </si>
  <si>
    <t>Dąb, łąka, parobek, gospodarz, służba, pole, Górsko</t>
  </si>
  <si>
    <t>Oskarżenie o zdradę</t>
  </si>
  <si>
    <t>Oskarżenie publiczne, zdrajca.</t>
  </si>
  <si>
    <t>Puscizninski</t>
  </si>
  <si>
    <t>Jan Puscizninski</t>
  </si>
  <si>
    <t>Kontrakt, ogród.</t>
  </si>
  <si>
    <t>Dziewczyna Grzegorzkowicza</t>
  </si>
  <si>
    <t>Chciała przejść przez płot Taborkowicza.</t>
  </si>
  <si>
    <t>Narzekał, że ludzie chodzący od Grzegorzkowiczów połamali mu płot. Oskarżył ich o zagrodzenie ulicy i zrobienie z niej bagna, co uniemożliwia ludziom chodzenie. Wywrócił płot w ramach prostestu.</t>
  </si>
  <si>
    <t>Grzegorzkowiczowa</t>
  </si>
  <si>
    <t>Małżonka Grzegorzkowicza</t>
  </si>
  <si>
    <t>Taborkowicz nazwał ją tretnicą Bocheńską.</t>
  </si>
  <si>
    <t>Taborkowiczowa</t>
  </si>
  <si>
    <t>Małżonka Taborkowicza</t>
  </si>
  <si>
    <t>Nazwała dzieci Grzegorzkowiczów złodziejami.</t>
  </si>
  <si>
    <t>Mathias Poborski</t>
  </si>
  <si>
    <t>Jego plac sąsiaduje z placem Taborkowicza. Nazwał Taborkowicza młodym na minie, na co Tabrokowicz odpowiedział, że może i jest młody, ale przynajmniej podatki płaci. Wieczorem wywrócił płot Taborkowicza w akcie zemsty za swój płot.</t>
  </si>
  <si>
    <t>Dochodzenie szkody, obelga, oskarżenie o złodziejstwo</t>
  </si>
  <si>
    <t>Płot, ulica, barykada, zagorda, bagno, błoto, chodzić, przeskakwiać płot, zemsta, łamać płot, konefka wódki, złodzieje, Bochnia, tretnica bocheńska, ogród, pole, sąsiad, dzieci, dziewczyna, mąż, żona.</t>
  </si>
  <si>
    <t>Wyjście urzędowe do szkody</t>
  </si>
  <si>
    <t>Jaraczewska</t>
  </si>
  <si>
    <t>Syn Kulizewiczów</t>
  </si>
  <si>
    <t>Gospodarz, kiermasz, chłopiec, syn, magister, gadać na kogoś, gniew, batog, bicie, bronić chłopca swego, kij, pozdychać, robić, pracować, psy.</t>
  </si>
  <si>
    <t>Cipa</t>
  </si>
  <si>
    <t>Zabił wszę w środku czarki, z którą szedł po sól.</t>
  </si>
  <si>
    <t>Zjadł posiłek z czarki, w której została zamordowana wesz.</t>
  </si>
  <si>
    <t>Lucas Jaroskowicz</t>
  </si>
  <si>
    <t>Sól, wesz, posiłek, wódka, pijany, trzeźwy, bicie, Krzyz z Kawca, jałmużna, pleśń, uczeń, chłopiec, magister.</t>
  </si>
  <si>
    <t>Reina Taborkowiczowa</t>
  </si>
  <si>
    <t>Gwizdka</t>
  </si>
  <si>
    <t>Sowinski</t>
  </si>
  <si>
    <t>Sowinska</t>
  </si>
  <si>
    <t>Kulizowiczowa</t>
  </si>
  <si>
    <t>Kazimierz Sowinski</t>
  </si>
  <si>
    <t>Magister cechu kuśnierskiego</t>
  </si>
  <si>
    <t>Sowinski kształcił go własnym kosztem. Miał u niego dalej terminować pod warunkiem, że Sowinski w pijaności nie będzie przewodzić.</t>
  </si>
  <si>
    <t>Pijany, termin, cech kuśnierski, obelga, bicie.</t>
  </si>
  <si>
    <t>Chłopiec, kij, bicie, obrona, kurwa, tytoń, niewierny.</t>
  </si>
  <si>
    <t>Piwnica, dom, woda, mury, ruina.</t>
  </si>
  <si>
    <t>Brodecki</t>
  </si>
  <si>
    <t>Zelek</t>
  </si>
  <si>
    <t>Młyn, zboże, mąka, żyd, umowa, zobowiązanie.</t>
  </si>
  <si>
    <t>Dochodzennie szkody</t>
  </si>
  <si>
    <t>Parobek Szempinskiego</t>
  </si>
  <si>
    <t>Pniak, dąb, sosna, las, parobek, wycinka.</t>
  </si>
  <si>
    <t>Thomas Ząmbek</t>
  </si>
  <si>
    <t>Civis Bochnensis</t>
  </si>
  <si>
    <t>Cech krawiecki</t>
  </si>
  <si>
    <t>Cechmistrz krawiecki</t>
  </si>
  <si>
    <t>Kontusz, taksa, cech krawiecki, cechmistrz, Bochnia, kij, pijaństwo, dyffamacja, groźba, kiep.</t>
  </si>
  <si>
    <t>Kobieta sprawcza?</t>
  </si>
  <si>
    <t>TAK</t>
  </si>
  <si>
    <t>Valentinus Krzywdzinski</t>
  </si>
  <si>
    <t>Młynarz</t>
  </si>
  <si>
    <t>Paweł Planetnik</t>
  </si>
  <si>
    <t>Parobek Pytkiewicza</t>
  </si>
  <si>
    <t>Marcin Baranski</t>
  </si>
  <si>
    <t>Młyn, plotka, parobek, zapłata, odejście ze służby, Brzesko, czary, nieurodzaj.</t>
  </si>
  <si>
    <t>Oskarżenie o czary i zemstę</t>
  </si>
  <si>
    <t>Bartłomiej Pytkiewicz</t>
  </si>
  <si>
    <t>Heindlowa</t>
  </si>
  <si>
    <t>Dochodzenie szkody, obelga</t>
  </si>
  <si>
    <t>Ogród, nawóz, oranie, dyffamacja, żalić się</t>
  </si>
  <si>
    <t>Sługa, obelga, kajdany, grosz, piwo, pozew, utknąć w gardle.</t>
  </si>
  <si>
    <t>Reprotestacja</t>
  </si>
  <si>
    <t>Obelga, oskarżenie o bękarstwo</t>
  </si>
  <si>
    <t>Bękart, metryki, dyffamacja.</t>
  </si>
  <si>
    <t>Szelma, zabić psa, niegodzien.</t>
  </si>
  <si>
    <t>Nieposzanowanie godności sądu</t>
  </si>
  <si>
    <t>Błażej Pannowicz</t>
  </si>
  <si>
    <t>Piwo, browar, bezprawie.</t>
  </si>
  <si>
    <t>Paulus Piekarczyk</t>
  </si>
  <si>
    <t>Chłopiec Malarza</t>
  </si>
  <si>
    <t>Bąk Truchleńskiej</t>
  </si>
  <si>
    <t>Truchleńska</t>
  </si>
  <si>
    <t>Zabicie psa</t>
  </si>
  <si>
    <t>Kufel, piwo, piesek, chłopiec, sługa, post, wieczerza, śmierć.</t>
  </si>
  <si>
    <t>Anna Fiałkowska</t>
  </si>
  <si>
    <t>Reina Justycka</t>
  </si>
  <si>
    <t>Świenie, ogród, kościół, msza, nieszpory.</t>
  </si>
  <si>
    <t>Burmistrz, wójt, starość, sąd, wywód sądowy, nadużycie władzy.</t>
  </si>
  <si>
    <t>Wszy, portki, dupa, żołnierze, wójt.</t>
  </si>
  <si>
    <t>Nadużycie władzy, obelga</t>
  </si>
  <si>
    <t>Świnie, kapusta.</t>
  </si>
  <si>
    <t>Stephanus Szempinski</t>
  </si>
  <si>
    <t>Zofia Dryska</t>
  </si>
  <si>
    <t>Styrkowski</t>
  </si>
  <si>
    <t>Dziewka Szempanskiego</t>
  </si>
  <si>
    <t>Obelga, oskarżenie o gwałt</t>
  </si>
  <si>
    <t>Publicznie oskarżyła Szempinskiego o gwałt na swojej córce.</t>
  </si>
  <si>
    <t>Zuzanna Poborska</t>
  </si>
  <si>
    <t>Dziewka, interes,  dyffamacja, skurwysyn, kiep, wójt, Bochnia, nieuczciwy uczynek, gwałt.</t>
  </si>
  <si>
    <t>Woyciechowa</t>
  </si>
  <si>
    <t>Babka wójta, z Bochni</t>
  </si>
  <si>
    <t xml:space="preserve">Skurwysyn, Szopa, wykrętacz, trzysta diabłów, zadek, babka, wójt, Bochnia, chłop, dziecię, schronić się, szklanka, szafka, żyd, plugawica, kurwa, jebał ją pies, gnojek, flejtuch, mieszczanin, </t>
  </si>
  <si>
    <t>Wyzywała Szempinskiego, pokazała mu goły zadek, kazała zjeść trzystu diabłów. Twierdziła, że nie jest mieszczaninem.</t>
  </si>
  <si>
    <t>Sierawska</t>
  </si>
  <si>
    <t>Christophorus Pankiewicz</t>
  </si>
  <si>
    <t>Zofia Ksiąszkowiczowa</t>
  </si>
  <si>
    <t>Pankiewiczowa</t>
  </si>
  <si>
    <t>Jaroszkowicz</t>
  </si>
  <si>
    <t>Młody</t>
  </si>
  <si>
    <t>Małżonka Pankiewicza. Z domu Siemday</t>
  </si>
  <si>
    <t>Zwyzywała Pankiewiczową od kurew wyjebanych, piczownic.</t>
  </si>
  <si>
    <t>Kurwa wyjebana, piczownica, małżonka, młody, dać w gębę, krew, słowa niegodziwe, dyffamacja, Bochnia.</t>
  </si>
  <si>
    <t>Uderzył Pankiewiczową w gębę, skrwawił ją. Nazwał kurwą wyjebaną bocheńską.</t>
  </si>
  <si>
    <t>Jacobus Kowal</t>
  </si>
  <si>
    <t>Jakub Szewc</t>
  </si>
  <si>
    <t>Z Zawady</t>
  </si>
  <si>
    <t>Młynarka Olchawska</t>
  </si>
  <si>
    <t>Bereszczynska</t>
  </si>
  <si>
    <t>Służbista Pawłowskiego</t>
  </si>
  <si>
    <t>Pawłowski</t>
  </si>
  <si>
    <t>Jakub Swiec</t>
  </si>
  <si>
    <t>Ksiąszkowiczowa</t>
  </si>
  <si>
    <t>Bendarka</t>
  </si>
  <si>
    <t>Poszli do niego na piwo</t>
  </si>
  <si>
    <t>Lucas Brandysz</t>
  </si>
  <si>
    <t>Była ofiarą wyzwisk i próby pobicia.</t>
  </si>
  <si>
    <t>Karczma, kowal, szewc, zawada, piwo, kiep, służbista, szlachcianka, młynarka, bednarka, diabeł, chlep, chłop, bronić, częstować, kurwa, jebał cię pies, sochy, bazarnica, pijaczka, rząd, bicie, gęba, parobek.</t>
  </si>
  <si>
    <t>Parobek Młynarki</t>
  </si>
  <si>
    <t>Małżonka Ziembienskiego</t>
  </si>
  <si>
    <t>Nowakowski</t>
  </si>
  <si>
    <t>Jozefowa Ziembienska</t>
  </si>
  <si>
    <t>Żalił się Reiszowi na pasierbów</t>
  </si>
  <si>
    <t>Zapytała Nowakowskiego, dlaczego groził jej mężowi siekierą.</t>
  </si>
  <si>
    <t>Bronił się, że nie miał nic w ręku poza laską.</t>
  </si>
  <si>
    <t>Cząmbrzył Nowakowskiego za czuprynę</t>
  </si>
  <si>
    <t>Nowakowska</t>
  </si>
  <si>
    <t>Małżonka Nowakowskiego</t>
  </si>
  <si>
    <t>Syn Nowakowej</t>
  </si>
  <si>
    <t>Tomasz</t>
  </si>
  <si>
    <t>Małżonka Tomasza</t>
  </si>
  <si>
    <t>Słowa nieuczciwe, złodzieje, hultaje, skurwysynowie, czupryna, pasierbowie, siekiera, laska, syn, małżonka.</t>
  </si>
  <si>
    <t>Obelga, oskarżenie o złodziejstwo, pobicie</t>
  </si>
  <si>
    <t>Reverendus</t>
  </si>
  <si>
    <t>Pleban w Rybie</t>
  </si>
  <si>
    <t>Jozef Piątkowicz</t>
  </si>
  <si>
    <t>Urząd, ogrody, brat rodzony, rynek, publicznie, dyffamacja, hecel, skurwysyn, szelma, mieszczanin wiśnicki, Wiśnicz, pisarz miejski, wójt, burmistrz.</t>
  </si>
  <si>
    <t>Kwitacja</t>
  </si>
  <si>
    <t>Marcin Kopytowicz</t>
  </si>
  <si>
    <t>Rodzice, nieboszczkowie, spadek, dziedzictwo, miasto.</t>
  </si>
  <si>
    <t>Barbara Reiszówna</t>
  </si>
  <si>
    <t>Dziewka Andrzeja Reisza</t>
  </si>
  <si>
    <t>Pobicie, oskarżenie o złodziejstwo i kurewstwo</t>
  </si>
  <si>
    <t>Złodziej, kurwa, dziewka, koszula, głowa, bicie.</t>
  </si>
  <si>
    <t>Generosus</t>
  </si>
  <si>
    <t>Generosa</t>
  </si>
  <si>
    <t>Antonius Babczynski</t>
  </si>
  <si>
    <t>Kurwa, ujmowanie się.</t>
  </si>
  <si>
    <t>Noskowiczówna</t>
  </si>
  <si>
    <t>Córka Jakuba Noskowicza</t>
  </si>
  <si>
    <t>Noskowiczowa</t>
  </si>
  <si>
    <t>Małżonka Jakuba Noskowicza</t>
  </si>
  <si>
    <t>Obelga, pobicie, oskarżenie o złodziejstwo</t>
  </si>
  <si>
    <t>Córka, noc, ogród, grodzić się, dyffamacja, żona, kiep, skurwysyn, złodziej, cybuch, gęba, pobicie, głowa.</t>
  </si>
  <si>
    <t>Kołaczkiewicz</t>
  </si>
  <si>
    <t>Chłopiec Kołaczkiewicza</t>
  </si>
  <si>
    <t>Brat, złodziej, chłopiec, koń, wół, najęcie, ogródek.</t>
  </si>
  <si>
    <t>Jasienkowiczowa</t>
  </si>
  <si>
    <t>Fiałkowska</t>
  </si>
  <si>
    <t>Anna Wolakowska</t>
  </si>
  <si>
    <t>Ksiąszczkowiczowa</t>
  </si>
  <si>
    <t>Próba przjęcia miejsca na placu</t>
  </si>
  <si>
    <t>Plac, miejsce, dobierka, wstawienie się za kimś.</t>
  </si>
  <si>
    <t>Dekret, szkoda, zadośćuczynienie.</t>
  </si>
  <si>
    <t>Rayczykowa</t>
  </si>
  <si>
    <t>Małżonka Rayczyka</t>
  </si>
  <si>
    <t>Złodziej, suknia, haida, ojczyzna, browary, kałdos, dym, ród.</t>
  </si>
  <si>
    <t>Oczekiwanie na męża</t>
  </si>
  <si>
    <t>Reina Ziembinska</t>
  </si>
  <si>
    <t>Matka Tomasza Ziembienskiego, z domu Nowakowska</t>
  </si>
  <si>
    <t>Rodzicielka, płacza, dobre serce, matka, żona, młodszy syn.</t>
  </si>
  <si>
    <t>Thomas Ziembinski</t>
  </si>
  <si>
    <t>Elżbieta Ziembinska</t>
  </si>
  <si>
    <t>Młodszy syn. Podpis.</t>
  </si>
  <si>
    <t>Małżonka Tomasza Ziembienskiego.</t>
  </si>
  <si>
    <t>Jasienkowicz</t>
  </si>
  <si>
    <t>Świenie, ogród, powtórne zajęcie.</t>
  </si>
  <si>
    <t>Złodziejstwo</t>
  </si>
  <si>
    <t>Małżonka Jana Zierkowskiego</t>
  </si>
  <si>
    <t>Agnes Gruszkowiczowa</t>
  </si>
  <si>
    <t>Małżonka Zierkowskiego</t>
  </si>
  <si>
    <t>Reina Nowakowska</t>
  </si>
  <si>
    <t>Obelga, wtargnięcie do domu</t>
  </si>
  <si>
    <t>Rynek, koszyk, klucz, drzwi, dom, wtargnięcie, kurwa, szelma, kanalia, sto tysięcy diabłów.</t>
  </si>
  <si>
    <t>Dyffamacja, obraza.</t>
  </si>
  <si>
    <t>Złodziej, okno, noc, kotlarka, honor, cenzura, cudzołostwo, zdrada, plotka, mieszczanin, hultaj, sława, gęba, więzienie, reputacja.</t>
  </si>
  <si>
    <t>Reina</t>
  </si>
  <si>
    <t>Malarka</t>
  </si>
  <si>
    <t>Pijaństwo, złodziej, okno, noc, skrzynia, dziewczyna, kotlarka, głowa, najście.</t>
  </si>
  <si>
    <t>"Ważył się być nocnym burmistrzem oraz sługą"</t>
  </si>
  <si>
    <t>Wtargnięcie do domu, pobicie, oszczerstwo, nadużycie władzy</t>
  </si>
  <si>
    <t>Cechmistrz, nocny burmistrz, sługa, krata, pobicie.</t>
  </si>
  <si>
    <t>Został pobity przez Zierkowskiego a następnie siłą wepchnięty do więzienia za podejrzenie cudzołustwa.</t>
  </si>
  <si>
    <t>Kochanowski</t>
  </si>
  <si>
    <t>Żona, inkwizycja, noc, łapać, pachołek, krata.</t>
  </si>
  <si>
    <t>Szkoda, pole, ogród, zboża.</t>
  </si>
  <si>
    <t>Odwołanie na replikę</t>
  </si>
  <si>
    <t>Replika, propozycja, niezadowolenie.</t>
  </si>
  <si>
    <t>Tokarczyk</t>
  </si>
  <si>
    <t>Radaszowski</t>
  </si>
  <si>
    <t>Gratkiewiczowa</t>
  </si>
  <si>
    <t>Małżonka Radaszowskiego</t>
  </si>
  <si>
    <t>Tokarczykowa</t>
  </si>
  <si>
    <t>Małżonka Tokarczyka</t>
  </si>
  <si>
    <t>Całowanie w dupę, nie bać się, kury, szkoda, zamek, sława, żalić się, ciepieć biedę, Pan Bóg, nieprzyjaciele, znieść, oddalić, poganka, szlachcianka, księżna, zjeść diabła, dworniczka, dwór, trzewiki, płot, kości, komornicy, chować kogoś, haytus, bestia.</t>
  </si>
  <si>
    <t>Franciszek Tokarczyk</t>
  </si>
  <si>
    <t>Sąsiad</t>
  </si>
  <si>
    <t>Sąsiad, dyffamacja, szkoda, całować w nieuczciwe miejsce.</t>
  </si>
  <si>
    <t>Szkoda, pole, owies, wyjście w pole, snopki.</t>
  </si>
  <si>
    <t>Rzepa, oskarżenie, sąd, ksiądz.</t>
  </si>
  <si>
    <t>Contubernum Fabrorum</t>
  </si>
  <si>
    <t>Casimirus Koziałkiewicz</t>
  </si>
  <si>
    <t>Joannes Taborkowicz</t>
  </si>
  <si>
    <t>Cech, schadzka suchedniowa, hałas, tumult, złodziejstwo, starsi bracia, ulica, zabijaczka.</t>
  </si>
  <si>
    <t>Pobicie, oskarżenie o złodziejstwo</t>
  </si>
  <si>
    <t>Podcechmistrz, burmistrz, psy.</t>
  </si>
  <si>
    <t>Cech kowalski</t>
  </si>
  <si>
    <t>Nieposłuszeńtwo wobec cechu</t>
  </si>
  <si>
    <t>Cech kowalski, bracia cechowi, nieposłuszeństwo, cecha, piwo, wódka.</t>
  </si>
  <si>
    <t>Ogród, zastaw, kontrakt.</t>
  </si>
  <si>
    <t>Dobrowolność, nieuznanie dekretu.</t>
  </si>
  <si>
    <t>Reiszowa</t>
  </si>
  <si>
    <t>Małżonka Reisza</t>
  </si>
  <si>
    <t>Łobodzińska</t>
  </si>
  <si>
    <t>Martinus Goc</t>
  </si>
  <si>
    <t>Słód, mielenie, młyn pański, zepsuty młyn, kamień młyński, noc.</t>
  </si>
  <si>
    <t>Mielenie słodu w obcym młynie</t>
  </si>
  <si>
    <t>Młynarz Podklasztorny W.OO. Karmelitów Bosych</t>
  </si>
  <si>
    <t>Młynarz Zamkowy</t>
  </si>
  <si>
    <t>Słód, piwo, obcy młyn, młynarz podklasztorny, Karmeclici Bosi, młynarz zamkowy, żyd, inkwizycja.</t>
  </si>
  <si>
    <t>Świnie, pasternak, obelga, kiep, sędzia, dzieci.</t>
  </si>
  <si>
    <t>Paskowiczowa</t>
  </si>
  <si>
    <t>Bratanek Paskowiczowej</t>
  </si>
  <si>
    <t>Członek cechu</t>
  </si>
  <si>
    <t>Sobestyian Gruszkowicz</t>
  </si>
  <si>
    <t>Magister kunsztu</t>
  </si>
  <si>
    <t>Uczył się u Gruszkowicza</t>
  </si>
  <si>
    <t>Uczeń, bratanek, magister kunsztu, cech, kupiec.</t>
  </si>
  <si>
    <t>Uczeń Gruszkowicza</t>
  </si>
  <si>
    <t>Małżonka Paskowicza</t>
  </si>
  <si>
    <t>Marcin Piotrowicz</t>
  </si>
  <si>
    <t>Cech, magister, kunszt, uczeń, młodzieniaszek, rękojmia.</t>
  </si>
  <si>
    <t>Dochodzenie szkody, nadużycie władzy</t>
  </si>
  <si>
    <t>Cech, magister, młodzieniaszek, kontusz, czapka, wyzwoliny.</t>
  </si>
  <si>
    <t>Krawczyk</t>
  </si>
  <si>
    <t>Joannes Drabik</t>
  </si>
  <si>
    <t>Leyzer</t>
  </si>
  <si>
    <t>Pisarz, dyffamacja, kanalia, szelma, gęba, honor, huncwot, miejskie prawo, chłop, skurwysyn.</t>
  </si>
  <si>
    <t>Stanislaus Krawiec</t>
  </si>
  <si>
    <t>Karol Mikat</t>
  </si>
  <si>
    <t>Krata</t>
  </si>
  <si>
    <t>Thomasz Bolowicz</t>
  </si>
  <si>
    <t>Jan Drabik</t>
  </si>
  <si>
    <t>Z Królówki</t>
  </si>
  <si>
    <t>Dług, Królówka, pogębkować, obelga, sąd, zniesławienie.</t>
  </si>
  <si>
    <t>Piotrowicz</t>
  </si>
  <si>
    <t>Piątkowicz</t>
  </si>
  <si>
    <t>Piątkowicz Młodszy</t>
  </si>
  <si>
    <t>Syn piątkowicza</t>
  </si>
  <si>
    <t>Uczeń cechowy</t>
  </si>
  <si>
    <t>Magister cechowy, były nauczyciel syna Piątkowicza</t>
  </si>
  <si>
    <t>Magister, cech szewski, syn, nauka, rzemiosła, pozew, zapłata.</t>
  </si>
  <si>
    <t>Joannes Serafinowicz</t>
  </si>
  <si>
    <t>Advocat</t>
  </si>
  <si>
    <t>Joannis Michałkiewicz</t>
  </si>
  <si>
    <t>Jozephus Piątkiewicz</t>
  </si>
  <si>
    <t>Adalebrtus Zawarski</t>
  </si>
  <si>
    <t>Na wielkim dorobku, niepiśmienny, nieumiejący czytać.</t>
  </si>
  <si>
    <t>Młodszy brat cechowy</t>
  </si>
  <si>
    <t>Martinus Rudkiewicz</t>
  </si>
  <si>
    <t>Janicki</t>
  </si>
  <si>
    <t>Brat Wawrzyńca Zarębskiego</t>
  </si>
  <si>
    <t>Dreliarzowie</t>
  </si>
  <si>
    <t>Jego rodzina ponoć uciekła na Węgry</t>
  </si>
  <si>
    <t>Rządzić, honor, renoma, reputacja, uderzyć, białogłowy, młody, szkło, cech, czeladź, bajdurzyć, cechmistrz, kiep, błazen, kozioł, kat, być lepszym, podciwszy, rozkoszka, Węgry, ucieczka.</t>
  </si>
  <si>
    <t>Obelga, pobicie, oszczerstwo</t>
  </si>
  <si>
    <t>Catharina Szczepankowiczowa</t>
  </si>
  <si>
    <t>Szempińskówna</t>
  </si>
  <si>
    <t>Szempińska</t>
  </si>
  <si>
    <t>Małżonka Szempińskiego</t>
  </si>
  <si>
    <t>Cóka Szempińskiego</t>
  </si>
  <si>
    <t>Dochodzenie długu, obelga, pobicie</t>
  </si>
  <si>
    <t>Szempiński</t>
  </si>
  <si>
    <t>Diabeł, kurewka, przyjść skądś, być gdzieś dłużej, pójść dokądś, gęba, dać w gębę, pobicie, ojciec, matka, córka, pójść za potrzebą, renoma, reputacja.</t>
  </si>
  <si>
    <t>Dziecko Szempinskiego</t>
  </si>
  <si>
    <t>Dziecię, dug, posłanie, uderzenie, gęba.</t>
  </si>
  <si>
    <t>Andreas Paskowicz</t>
  </si>
  <si>
    <t>Oskarżenie o złodziejstwo</t>
  </si>
  <si>
    <t>Złodziejstwo, żyd, kradzież.</t>
  </si>
  <si>
    <t>Herszel</t>
  </si>
  <si>
    <t>Andreas Paskiewicz</t>
  </si>
  <si>
    <t>Thomas Paskiewicz</t>
  </si>
  <si>
    <t>Wybór urzędników</t>
  </si>
  <si>
    <t>Gubernator zamku i miasta</t>
  </si>
  <si>
    <t>Jana Michałkiewicza</t>
  </si>
  <si>
    <t>Obrany przez gubernatora, novitur electus</t>
  </si>
  <si>
    <t>Obrany przez pospulstwo, novitur electus</t>
  </si>
  <si>
    <t>Wójt dobrał ławników</t>
  </si>
  <si>
    <t>Burmistrz, elekcja, urzędnik, pospólstwo, wójt, ławnicy.</t>
  </si>
  <si>
    <t>Contuberny Sartorum</t>
  </si>
  <si>
    <t>Novo electus</t>
  </si>
  <si>
    <t>Archimagister</t>
  </si>
  <si>
    <t>Archimagister Textorus</t>
  </si>
  <si>
    <t>Vicearchimagister Textorus</t>
  </si>
  <si>
    <t>Andreas Koscienski</t>
  </si>
  <si>
    <t>Czeladnik Woyciechowskiego</t>
  </si>
  <si>
    <t>Pobicie, czeladnik, cech,</t>
  </si>
  <si>
    <t>Muszyńscy</t>
  </si>
  <si>
    <t>Łukasz Jaroszkowicz</t>
  </si>
  <si>
    <t>Stanisławowa Poborska</t>
  </si>
  <si>
    <t>Rybakowicz</t>
  </si>
  <si>
    <t>Skowronska/Skowronkowiczowa</t>
  </si>
  <si>
    <t>Ogród, plac, arenda, zażywanie, dziedziczka, zastaw.</t>
  </si>
  <si>
    <t>Magistrat miejski</t>
  </si>
  <si>
    <t>Kuśnierz</t>
  </si>
  <si>
    <t>Słudzy, Panowie Młodsi, kuśnierz, magistrat, obraza, napaść.</t>
  </si>
  <si>
    <t>Antoni Jęczmykowicz</t>
  </si>
  <si>
    <t>Ksiądz prabendarz</t>
  </si>
  <si>
    <t>Fasugowiczowa</t>
  </si>
  <si>
    <t>Dochodzenie długu, obraza.</t>
  </si>
  <si>
    <t>Ksiądz, prabendarz, kalumnia, dług, rzecz dziecinna.</t>
  </si>
  <si>
    <t>Pusciznienski</t>
  </si>
  <si>
    <t>Kosa, pieniądze, Bobowa, jarmark.</t>
  </si>
  <si>
    <t>Praca, kosy, pieniądze, jarmark, Bobowa.</t>
  </si>
  <si>
    <t>Jan Puscizniensnki</t>
  </si>
  <si>
    <t>Sprynca</t>
  </si>
  <si>
    <t>Żyd, podatek, dom, protekcja.</t>
  </si>
  <si>
    <t>Stefan</t>
  </si>
  <si>
    <t>Sołtys</t>
  </si>
  <si>
    <t>Gutowska</t>
  </si>
  <si>
    <t>Przyjechał z Muszyny</t>
  </si>
  <si>
    <t>Rogozowicz spotkał się z nią w Lipnicy</t>
  </si>
  <si>
    <t>Sołtys, kosy, Lipnica, Muszyna, Stary Wiśnicz, zniewolenie, gęba, pobicie.</t>
  </si>
  <si>
    <t>Andrzej Koscinski</t>
  </si>
  <si>
    <t>Mikołaj</t>
  </si>
  <si>
    <t>Czeladnik Koscinskiego</t>
  </si>
  <si>
    <t>Cech sukienniczy</t>
  </si>
  <si>
    <t>Koscinska</t>
  </si>
  <si>
    <t>Żona Andrzeja Koscinskiego</t>
  </si>
  <si>
    <t>W tajemnicy przed mężem pokrywała wydatki czeladnika</t>
  </si>
  <si>
    <t xml:space="preserve">Partacze, cech sukienników, czeladnik, wydatki, cecha, żona, </t>
  </si>
  <si>
    <t>Obraza, nieposłuszeństwo</t>
  </si>
  <si>
    <t>Joannes Michałkiewicz/Michałkowicz</t>
  </si>
  <si>
    <t>Brat Jana Michałkiewicza</t>
  </si>
  <si>
    <t>Był z bratem na na jarrmarku w Pinczowie</t>
  </si>
  <si>
    <t>Andreas Koscinski</t>
  </si>
  <si>
    <t>Chłopi, chmiel, kamienie, konie, brat, dobić targu, dudek, nieszpory, Pińczów, Kamieniec, jarmark.</t>
  </si>
  <si>
    <t>Organista Paulinów z Pińczowa</t>
  </si>
  <si>
    <t>Z Pińczowa</t>
  </si>
  <si>
    <t>Targ, chmiel, obraza, organista, Pińczów, Paulini</t>
  </si>
  <si>
    <t>Blasius Ponisowicz</t>
  </si>
  <si>
    <t>Josephus Piątkiewicz</t>
  </si>
  <si>
    <t>Zawarski</t>
  </si>
  <si>
    <t>Żona Zawarskiego</t>
  </si>
  <si>
    <t>Krawczyk Zawarskiej</t>
  </si>
  <si>
    <t>Partacz, sklep, zamknięcie, zamek, skarga, cech krawiecki, cech, przyjęcie, mąż, żona.</t>
  </si>
  <si>
    <t>Obelga, pogwałcenie praw cechowych</t>
  </si>
  <si>
    <t>Andreas Wolakowicz</t>
  </si>
  <si>
    <t>Niepiśmienny, nieumiejący czytać, na dorobku bez posesyi</t>
  </si>
  <si>
    <t>Sługa miejski</t>
  </si>
  <si>
    <t>Rynek, gubernator, chować kogoś, krawczyk, cech krawiecki, partacz, sklep, magistrowa, sklep, grzać żelazo, zamknąć, kiep, dać w pysk, sługa, skurwysynowie, diaboł się boi, ukarać się.</t>
  </si>
  <si>
    <t>Siepraw, niewierny, czeladnik, grosze, żyd</t>
  </si>
  <si>
    <t>Były czeladnik Sowinskiego</t>
  </si>
  <si>
    <t>Antonius Jęczmykowicz</t>
  </si>
  <si>
    <t>Teresa Gorkowiczowa</t>
  </si>
  <si>
    <t>Ksiądz, ojciec, żal, Swiec, podobieństwo, wołać, kiep, skurwysyn.</t>
  </si>
  <si>
    <t>Sąsiedzi</t>
  </si>
  <si>
    <t>Ksiądz, ksiądz, dziekan, niepohamowanie w gębie, nieuwaga, dyffamacja</t>
  </si>
  <si>
    <t>gubernator hrabstwa wiśnickiego</t>
  </si>
  <si>
    <t>Obrany przez pospulstwo, noviter electum</t>
  </si>
  <si>
    <t>Obrany przez pospulstwo, antiqua electum</t>
  </si>
  <si>
    <t>Obrany przez gubernatora, antiqua electum</t>
  </si>
  <si>
    <t>Burmistrz, elekcja, urzędnik, pospólstwo, wójt, ławnicy, trunki.</t>
  </si>
  <si>
    <t>elekcja PP. Rzeczników</t>
  </si>
  <si>
    <t>Bartłomiej Wiewiórski</t>
  </si>
  <si>
    <t>Jakub Kulizewicz</t>
  </si>
  <si>
    <t>Rzecznicy, elekcja</t>
  </si>
  <si>
    <t>Electio Variorum Contuberniorum</t>
  </si>
  <si>
    <t>Andreas Reis</t>
  </si>
  <si>
    <t>Vicearchimagister artis sartoriae</t>
  </si>
  <si>
    <t>Archimagister artis sartoriae</t>
  </si>
  <si>
    <t>antiqui confirmantus</t>
  </si>
  <si>
    <t>Archimagister artis pelliceorum</t>
  </si>
  <si>
    <t>Vicearchimagister artis pelliceorum</t>
  </si>
  <si>
    <t>Archimagister artis sutorum</t>
  </si>
  <si>
    <t>Vicearchimagister artis sutorum</t>
  </si>
  <si>
    <t>Archimagister artis pistorum</t>
  </si>
  <si>
    <t>noviter electus</t>
  </si>
  <si>
    <t>Vicearchimagister artis pistorum</t>
  </si>
  <si>
    <t>Joannes Tribulski</t>
  </si>
  <si>
    <t>Archimagister artis fabrorum</t>
  </si>
  <si>
    <t>Vicearchimagister artis fabrorum</t>
  </si>
  <si>
    <t>Archimagister artis panitextorum</t>
  </si>
  <si>
    <t>Vicearchimagister artis panitextorum</t>
  </si>
  <si>
    <t>Archimagister artis textorum</t>
  </si>
  <si>
    <t>Vicearchimagister artis textorum</t>
  </si>
  <si>
    <t>Moyżesz Jacubowicz</t>
  </si>
  <si>
    <t>Syndicus Synagogae NeoVisnicensis</t>
  </si>
  <si>
    <t>Gęsi, kradzież, niewierny, najście w domu, noc, synagoga, syndyk</t>
  </si>
  <si>
    <t>Golcowicz</t>
  </si>
  <si>
    <t>Joannes Laurentius Zarębski</t>
  </si>
  <si>
    <t>Archimagistrum Textorum</t>
  </si>
  <si>
    <t>Vicearchimagistrum Textorum</t>
  </si>
  <si>
    <t>Wojciechowski</t>
  </si>
  <si>
    <t>Wojciechowska</t>
  </si>
  <si>
    <t>zmarła córeczka Wojciechowskiego</t>
  </si>
  <si>
    <t>Serafinowicz</t>
  </si>
  <si>
    <t>W jego rękojmi byli Martinus Rudkiewicz i Thomas Brodecki,</t>
  </si>
  <si>
    <t>Pogrzeb, konsolacja, cech, suchedniowa schadzka cechowa, córeczka, rękojmia, mowa</t>
  </si>
  <si>
    <t>Podatki, ojcowie założyciele, opryszkowie, skarb radziecki, magistrat miejski</t>
  </si>
  <si>
    <t>Dochodzenie szkody, zastaw</t>
  </si>
  <si>
    <t>Ogród, zastaw, czynsz</t>
  </si>
  <si>
    <t>Casimirus Koziołkowicz</t>
  </si>
  <si>
    <t>Pogwałcenie praw cechowych</t>
  </si>
  <si>
    <t>Cecha, cech, być za cechą, brat cechowy, kowal</t>
  </si>
  <si>
    <t>Koziołkowicz</t>
  </si>
  <si>
    <t>Dyfamacja, komora</t>
  </si>
  <si>
    <t>Franciscus Rudkiewicz</t>
  </si>
  <si>
    <t>Cech, noc, droga, głowa, włoczyć, kopać, nogi, łopatki, siny, kontusz, zdarty, plecy</t>
  </si>
  <si>
    <t>Wiewiorska</t>
  </si>
  <si>
    <t>Żona Wiewiorskiego</t>
  </si>
  <si>
    <t>Kotcowa</t>
  </si>
  <si>
    <t>Źona Kotcy, szwagrowa Wiewiórskiej</t>
  </si>
  <si>
    <t>Gołdas</t>
  </si>
  <si>
    <t>Przywiózł słoniny na prośbę Kotcy i Wiewiórskiego, nie był zadowolony z ceny - zabrał słoninę do domu</t>
  </si>
  <si>
    <t>Słonina, żona, maż, sprzedaż</t>
  </si>
  <si>
    <t>Podkupowanie, słonina, pogwałcenie aresztu</t>
  </si>
  <si>
    <t>Cech szewski</t>
  </si>
  <si>
    <t>Cecha, cech szewski</t>
  </si>
  <si>
    <t>Siekiera, marchia</t>
  </si>
  <si>
    <t>Andreas Srozikowicz</t>
  </si>
  <si>
    <t>Proconsul Bochnensis</t>
  </si>
  <si>
    <t>Thomas Gorski</t>
  </si>
  <si>
    <t>Instigator Bochnensis</t>
  </si>
  <si>
    <t>Francisca Skorzynska</t>
  </si>
  <si>
    <t>Arendarz z Kolanowa</t>
  </si>
  <si>
    <t>Hersla</t>
  </si>
  <si>
    <t>Opieszałość</t>
  </si>
  <si>
    <t>Hersl</t>
  </si>
  <si>
    <t>Kolanów, niewierny, arendarz, Bochnia, starosta, dekret, kachał</t>
  </si>
  <si>
    <t>Cunegunda Piątkowiczowa</t>
  </si>
  <si>
    <t>Reprezentowana przez męża</t>
  </si>
  <si>
    <t>Viceadvocatus</t>
  </si>
  <si>
    <t>Bochnia, żyd, radny, instygator, sąd, wójt, sąsiednie miasto.</t>
  </si>
  <si>
    <t>Slama</t>
  </si>
  <si>
    <t>Cyrulik</t>
  </si>
  <si>
    <t>Żona Romanskiego</t>
  </si>
  <si>
    <t>Romanska</t>
  </si>
  <si>
    <t>Krowa, pasza, żona, niewierny, cyrulik</t>
  </si>
  <si>
    <t>Cech piekarski</t>
  </si>
  <si>
    <t>Grabinski</t>
  </si>
  <si>
    <t>Piekarz partacz</t>
  </si>
  <si>
    <t>Cech piekarski, chleb, pieczenie, partactwo</t>
  </si>
  <si>
    <t>Jan Żerkowski</t>
  </si>
  <si>
    <t>Mąż Agnieszki Żerkowskiej</t>
  </si>
  <si>
    <t>Jakub Karmazyn</t>
  </si>
  <si>
    <t>Obywatel wiśnicki</t>
  </si>
  <si>
    <t>Bedonski</t>
  </si>
  <si>
    <t>Piątkowski</t>
  </si>
  <si>
    <t>Dożywotnio złożony z urzędu pisarza za pomoc w fałszowaniu kwitów</t>
  </si>
  <si>
    <t>Suplika, kwity, dług, niewierny, kwit sfabrykowany, Węgry, szpital, chrześcijanie</t>
  </si>
  <si>
    <t>Dochodzenie długu, fałszerstwo</t>
  </si>
  <si>
    <t>Katolicy</t>
  </si>
  <si>
    <t>Kwitacje, długi, karty, kachał, katolicy, żydzi</t>
  </si>
  <si>
    <t>Michaelis Myczkowski</t>
  </si>
  <si>
    <t>Miał u Reisza dług za konia</t>
  </si>
  <si>
    <t>Laska, jatka, rzeźnicy, koń, sabaka, woźnica, kradzieź, dług, żona.</t>
  </si>
  <si>
    <t>Wojciech Bedonski</t>
  </si>
  <si>
    <t>Wojciech Zawarski</t>
  </si>
  <si>
    <t>Wojciech Kołaczkowicz</t>
  </si>
  <si>
    <t>Zmiana prawa</t>
  </si>
  <si>
    <t>Zmiana obrzędu elekcji urzędników miejskich. Wydan przez Bedonskiego</t>
  </si>
  <si>
    <t>Pachołek Łobodzinskiego</t>
  </si>
  <si>
    <t>Cech krawiecki, podatek, pachołek, dać w mordę</t>
  </si>
  <si>
    <t>Archimagistrum Sartorum</t>
  </si>
  <si>
    <t>Cech krawiecki, kiep, szelma, kanalia, błazen, złodziej, skurwysyn, kociarz</t>
  </si>
  <si>
    <t>Vicearchimagister Fabrorum</t>
  </si>
  <si>
    <t>Vicearchimagister Sartorum</t>
  </si>
  <si>
    <t>Joannes Staniszowski</t>
  </si>
  <si>
    <t>Vicearchimagister Sutorum</t>
  </si>
  <si>
    <t>Vicearchimagister Pistorum</t>
  </si>
  <si>
    <t>Josephus Budzianski</t>
  </si>
  <si>
    <t>Archimagister Textorum</t>
  </si>
  <si>
    <t>Vicearchimagister Textorum</t>
  </si>
  <si>
    <t>Simonis Wolski</t>
  </si>
  <si>
    <t>Vicearchimagister Pannitextorum</t>
  </si>
  <si>
    <t>Archimagister Pellicemorum</t>
  </si>
  <si>
    <t>Vicearchimagister Pellicemorum</t>
  </si>
  <si>
    <t>Franciszek Wilczenski</t>
  </si>
  <si>
    <t>Mieszczanin Lubowiecki</t>
  </si>
  <si>
    <t>Hawtarz?</t>
  </si>
  <si>
    <t>Anyż, glejta, szkoda, handel, kupiectwo, niewierni</t>
  </si>
  <si>
    <t>Martinus Batutowicz</t>
  </si>
  <si>
    <t>Tomasz Myszkowicz</t>
  </si>
  <si>
    <t>Cechmistrz piekarski</t>
  </si>
  <si>
    <t>Andrzej Koscienski</t>
  </si>
  <si>
    <t>Ogród, cechmistrz, cech piekarski, rewizja, szkoda</t>
  </si>
  <si>
    <t>Szczepankowiczowa</t>
  </si>
  <si>
    <t>Córka Szczepankowiczowej</t>
  </si>
  <si>
    <t>Chleb, partaczctwo, cech piekarski, sprzedaż, jatki</t>
  </si>
  <si>
    <t>Barbara Michałkiewiczowa</t>
  </si>
  <si>
    <t>Kotcza</t>
  </si>
  <si>
    <t>Mikołaj Sowienski</t>
  </si>
  <si>
    <t>Kurwa, wyjebana, nadejść, sto diabłów zjeść</t>
  </si>
  <si>
    <t>Adalbertus Sędziszowski</t>
  </si>
  <si>
    <t>Sprawa wcześniej była rozstrzygnięta przez sąd Cechu Krawieckiego</t>
  </si>
  <si>
    <t>Cech krawiecki, bracia cechowi, sąd cechowy, żupan</t>
  </si>
  <si>
    <t>Aleksander Michalski</t>
  </si>
  <si>
    <t>Miskiewicz</t>
  </si>
  <si>
    <t>Kołaczkowicz</t>
  </si>
  <si>
    <t>Niewiasta Wardrążki</t>
  </si>
  <si>
    <t>Michalski od lat wytykał mu, że się tu nie urodził</t>
  </si>
  <si>
    <t>Burmistrz, fortuna, zasługi, zagony u żony między nogami, być lepszym, zęby urosłe, płazowanie szablą, browar, klucze, piwowar, skurwysyni, chłopi, smierdząca kratka, zostać na lodzie, węgry, kupcy, Piotrków</t>
  </si>
  <si>
    <t>Małżonka Piotra Rogozowicza</t>
  </si>
  <si>
    <t>Małżonka Andrzeja Reisza</t>
  </si>
  <si>
    <t>Bodzanowski</t>
  </si>
  <si>
    <t>Chować się przed księdzem, kamienica, areszt, pszenica, mieszczanin osiadły, małżonka</t>
  </si>
  <si>
    <t>Teresa Gorpelowiczowa/Balcerowa</t>
  </si>
  <si>
    <t>Owies, gronty, granica</t>
  </si>
  <si>
    <t>Areszt, pszenica</t>
  </si>
  <si>
    <t>Laurentius Zarębski</t>
  </si>
  <si>
    <t>Franciszek Tokarski</t>
  </si>
  <si>
    <t>Deprekacja</t>
  </si>
  <si>
    <t>Przeprosiny, rynek</t>
  </si>
  <si>
    <t>Uniwersał</t>
  </si>
  <si>
    <t>Wojciech Stanisław Jordan Stoiowski</t>
  </si>
  <si>
    <t>Podwojewoda Sądecki</t>
  </si>
  <si>
    <t>Z Zakliczyna</t>
  </si>
  <si>
    <t>Teodor Lubomirski</t>
  </si>
  <si>
    <t>Hrabia na Wiśniczu</t>
  </si>
  <si>
    <t xml:space="preserve">Jarmark, targ, taksa, zboże, cecha, kwarta, sądzić, przestępca, burmistrz, </t>
  </si>
  <si>
    <t>Akt z 13 maja 1732</t>
  </si>
  <si>
    <t>Cecha, miasto, regestr, trunki, szynbk, ratusz, synagoga, wino, kupcy, rzemieślnicy</t>
  </si>
  <si>
    <t>Proboszcz wiśnicki</t>
  </si>
  <si>
    <t>Podpisany zamiast gunernatora wiśnickiego</t>
  </si>
  <si>
    <t>Franciszek Kulczycki</t>
  </si>
  <si>
    <t>Wojciech Kołaczkiewicz</t>
  </si>
  <si>
    <t>Nieobecny</t>
  </si>
  <si>
    <t>Antoni Szwarczemborg de Vitovice</t>
  </si>
  <si>
    <t>de Kulczyce</t>
  </si>
  <si>
    <t>Sebastianus Zarębinski</t>
  </si>
  <si>
    <t>Burmistrz/proconsul</t>
  </si>
  <si>
    <t>Burmistrz/consul</t>
  </si>
  <si>
    <t>Joannes Bilenski</t>
  </si>
  <si>
    <t>Subdelegati Iurati</t>
  </si>
  <si>
    <t>Martinus Rutkiewicz</t>
  </si>
  <si>
    <t>Ławnik</t>
  </si>
  <si>
    <t>Podpisy</t>
  </si>
  <si>
    <t>Jospehus Noskowicz</t>
  </si>
  <si>
    <t>Franciscus Sierawski</t>
  </si>
  <si>
    <t>Dopiska o podjęciu się wybierania regestru przez pisarza miejskiego raz na kwartał</t>
  </si>
  <si>
    <t>Cechmistrz szewski</t>
  </si>
  <si>
    <t>Niestawienie się do sądu</t>
  </si>
  <si>
    <t>Cech szewski, rzecznicy, sługa miejski, magistrat, rozkarz urzędowy</t>
  </si>
  <si>
    <t>Cechmistrzowie, więzenie, zuchwałość, nieposłuszeństwo</t>
  </si>
  <si>
    <t>Mathias Romanicz</t>
  </si>
  <si>
    <t>Marthinus Łobodzienski</t>
  </si>
  <si>
    <t>Podatek, obraza</t>
  </si>
  <si>
    <t>Waszko Rugała</t>
  </si>
  <si>
    <t>Miles castrensis neovisnicensis</t>
  </si>
  <si>
    <t>Wyborca podatkowy</t>
  </si>
  <si>
    <t>Pies, jebać, kiep, skurwysyn, podatek, tablica, ręce, policzek, zamierzyć się, wąsy, pociągnąć za.</t>
  </si>
  <si>
    <t>Jospehus Piątkowicz</t>
  </si>
  <si>
    <t>Józef Piątkowski</t>
  </si>
  <si>
    <t>Były pisarz miejski</t>
  </si>
  <si>
    <t>Zaniedbał swoje obowiązki</t>
  </si>
  <si>
    <t>Dochodził wpisania zaniedbanej kwitacji. Był na dorobku, obsadził pustkę</t>
  </si>
  <si>
    <t>Pisarz, niedbałość, pustka</t>
  </si>
  <si>
    <t>Stephanus Szęmpinski</t>
  </si>
  <si>
    <t>Wawrzyniec Poborski</t>
  </si>
  <si>
    <t>Cech kuśnierski, areszt, burmistrz, deprekacja, bracia cechowi, nieposłuszeństwo</t>
  </si>
  <si>
    <t>Marthinus Gocowic</t>
  </si>
  <si>
    <t>Osiadł pustkę</t>
  </si>
  <si>
    <t>Fernecki</t>
  </si>
  <si>
    <t>Pustka, remont, kwartał</t>
  </si>
  <si>
    <t>Elekcja PP. Rzeczników</t>
  </si>
  <si>
    <t>Piotr Skorczynskiego</t>
  </si>
  <si>
    <t>Josephus Ziebinski</t>
  </si>
  <si>
    <t>Blasius Poniszowicz</t>
  </si>
  <si>
    <t>Vicearchimagister Pelliceorum</t>
  </si>
  <si>
    <t>Sebastianus Myszkowicz</t>
  </si>
  <si>
    <t>Jospehus Budzianski</t>
  </si>
  <si>
    <t>Hyacynthus Niedzwiecki</t>
  </si>
  <si>
    <t>Osiadł pustkę, uwolniony na dwa lata. Potem, jeśli będzie zdrów, da cokolwiek.</t>
  </si>
  <si>
    <t>Pustka, remont, bóg, zdrowie, posłuszeństwo</t>
  </si>
  <si>
    <t>Kontrakt,  kopia, ważyć się, kwity, przewrotny sposób, czeladnik</t>
  </si>
  <si>
    <t>Augustyn Noworolnik</t>
  </si>
  <si>
    <t>Noworolniczka</t>
  </si>
  <si>
    <t>Żona Augustyna Noworolnika</t>
  </si>
  <si>
    <t>Fałszerstwo</t>
  </si>
  <si>
    <t>Mathias Miskiewicz</t>
  </si>
  <si>
    <t>Regestr, pospólstwo, sucha gorzałka, podatek, słowa nieuczciwe, kiep, błazen, gnojek, smierdzieć, miasto, pachołek</t>
  </si>
  <si>
    <t>Alexander Wisłocki</t>
  </si>
  <si>
    <t>Petrus Paduchowicz</t>
  </si>
  <si>
    <t>Valentinus Chwastkowicz</t>
  </si>
  <si>
    <t>Marthinus Bałutowicz</t>
  </si>
  <si>
    <t>Cechmistrz tkacki</t>
  </si>
  <si>
    <t>Cech tkacki, chadzka, suchedni, brat cechowy, cechmistrz, metryka, piwo, wódka, wilkowi urosną zęby</t>
  </si>
  <si>
    <t>Cech tkacki</t>
  </si>
  <si>
    <t>Elżbieta Wazdrągowna</t>
  </si>
  <si>
    <t>Liszawski</t>
  </si>
  <si>
    <t>Przesiaduje u niego Elżbieta Wazdrągowa. By ł o to upomniany</t>
  </si>
  <si>
    <t>Banicja, nieobyczajność, złodziejstwo, zły nałóg, chałupa, obraza, bykowcy</t>
  </si>
  <si>
    <t>Nieobyczajne zachowanie</t>
  </si>
  <si>
    <t>Paduchowicz</t>
  </si>
  <si>
    <t>Paduchowiczowa</t>
  </si>
  <si>
    <t>Łobodzienski</t>
  </si>
  <si>
    <t>Kazimierz Piotrowicz</t>
  </si>
  <si>
    <t>Egzekutor woli</t>
  </si>
  <si>
    <t>Żona Paduchowicza</t>
  </si>
  <si>
    <t>Franciszek Bernacki</t>
  </si>
  <si>
    <t>Zmarły</t>
  </si>
  <si>
    <t>Zapoznanie się z testamentem</t>
  </si>
  <si>
    <t>Ksiądz, testament, zmarły, egzekutor</t>
  </si>
  <si>
    <t>Katarzyna Gwizdowiczowa</t>
  </si>
  <si>
    <t>Żona Andrzeja Reisza</t>
  </si>
  <si>
    <t>Chmiel, targ</t>
  </si>
  <si>
    <t>Szkolnik</t>
  </si>
  <si>
    <t>Synagoga, niewierny, czopowe, przywilej, burmistrz, ksiądz</t>
  </si>
  <si>
    <t>Prebendarz Literacki</t>
  </si>
  <si>
    <t>Dochodzenie podatku</t>
  </si>
  <si>
    <t>Ilustris</t>
  </si>
  <si>
    <t>Joannes Fifsier</t>
  </si>
  <si>
    <t>Mieszczanin z Kieżmarka</t>
  </si>
  <si>
    <t>Mieszczanin z Nowego Wiśnicza</t>
  </si>
  <si>
    <t>Bochnia, areszt, dług, kwit</t>
  </si>
  <si>
    <t>Tomasz Bolowicz</t>
  </si>
  <si>
    <t>Mikołaj Myszkowicz</t>
  </si>
  <si>
    <t>Miał pole przy drodze (scieszcze) ku Olchawie. Wzdłóż ogrodu P. Szempinskiego</t>
  </si>
  <si>
    <t>Droga, Olchawa, ogród,</t>
  </si>
  <si>
    <t>Zastaw</t>
  </si>
  <si>
    <t>Hyacyntus Niedzwiecki</t>
  </si>
  <si>
    <t>Cech kowalski, brat cechowy, drzeć skóry</t>
  </si>
  <si>
    <t>Czerny</t>
  </si>
  <si>
    <t>Jan Knorowicz</t>
  </si>
  <si>
    <t>Cech pierkarski</t>
  </si>
  <si>
    <t>Miał kwity na Knorowicza i cech pierkarski</t>
  </si>
  <si>
    <t>Laurentius Poborski</t>
  </si>
  <si>
    <t>Nazwany infamistą</t>
  </si>
  <si>
    <t>Cech szewski, kiep, błazen, fryc, nic</t>
  </si>
  <si>
    <t>Krzywoprzysięstwo</t>
  </si>
  <si>
    <t>Cech szewski, brat cechowy, więzienie, rękojmia, słowa niepoczciwe</t>
  </si>
  <si>
    <t>Chłopi, Królowka, wódka</t>
  </si>
  <si>
    <t>Tomasz Grabowski</t>
  </si>
  <si>
    <t>Szewc, skurwysyn, smoła, ciągniskóra, łeb, bywać</t>
  </si>
  <si>
    <t>Kiep, diabeł, pisarz, miagistrat, burmistrz, ksiądz</t>
  </si>
  <si>
    <t>Gosprzydowski</t>
  </si>
  <si>
    <t>Pleban</t>
  </si>
  <si>
    <t>Antonius Zielinski</t>
  </si>
  <si>
    <t>Garlicki</t>
  </si>
  <si>
    <t>Warchoł, dług, areszt, rękojmia, kiep, diabeł, barki, sień, kij, skurwysyn, skarga</t>
  </si>
  <si>
    <t>Paulus Pawłowski</t>
  </si>
  <si>
    <t>Podeszły w wieku, niepiśmienny, osiadł pustkę</t>
  </si>
  <si>
    <t>Pustka, podeszły wiek</t>
  </si>
  <si>
    <t>Josephus Ziębienski</t>
  </si>
  <si>
    <t>Drewno, targ, kiep, rynek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</si>
</sst>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charset val="238"/>
      <scheme val="minor"/>
    </font>
    <font>
      <b/>
      <sz val="11"/>
      <color theme="1"/>
      <name val="Aptos Narrow"/>
      <family val="2"/>
      <scheme val="minor"/>
    </font>
    <font>
      <b/>
      <sz val="12"/>
      <color theme="1"/>
      <name val="Aptos Narrow"/>
      <family val="2"/>
      <scheme val="minor"/>
    </font>
    <font>
      <sz val="12"/>
      <color theme="1"/>
      <name val="Aptos Narrow"/>
      <family val="2"/>
      <scheme val="minor"/>
    </font>
    <font>
      <sz val="11"/>
      <color theme="1"/>
      <name val="Aptos Narrow"/>
      <family val="2"/>
      <scheme val="minor"/>
    </font>
    <font>
      <b/>
      <sz val="11"/>
      <color theme="1"/>
      <name val="Aptos Narrow"/>
      <family val="2"/>
      <charset val="238"/>
      <scheme val="minor"/>
    </font>
  </fonts>
  <fills count="4">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s>
  <borders count="16">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35">
    <xf numFmtId="0" fontId="0" fillId="0" borderId="0" xfId="0"/>
    <xf numFmtId="0" fontId="0" fillId="0" borderId="1" xfId="0" applyBorder="1"/>
    <xf numFmtId="0" fontId="0" fillId="0" borderId="2" xfId="0" applyBorder="1"/>
    <xf numFmtId="0" fontId="0" fillId="0" borderId="4"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vertical="center"/>
    </xf>
    <xf numFmtId="0" fontId="0" fillId="0" borderId="8" xfId="0" applyBorder="1"/>
    <xf numFmtId="0" fontId="1" fillId="0" borderId="4" xfId="0" applyFont="1" applyBorder="1"/>
    <xf numFmtId="0" fontId="1" fillId="0" borderId="8" xfId="0" applyFont="1" applyBorder="1"/>
    <xf numFmtId="0" fontId="4" fillId="0" borderId="8" xfId="0" applyFont="1" applyBorder="1"/>
    <xf numFmtId="0" fontId="0" fillId="0" borderId="4" xfId="0" applyBorder="1"/>
    <xf numFmtId="0" fontId="2" fillId="0" borderId="3" xfId="0" applyFont="1" applyBorder="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0" fontId="2" fillId="2" borderId="9" xfId="0" applyFont="1" applyFill="1" applyBorder="1" applyAlignment="1">
      <alignment horizontal="center" wrapText="1"/>
    </xf>
    <xf numFmtId="0" fontId="0" fillId="2" borderId="9" xfId="0" applyFill="1" applyBorder="1" applyAlignment="1">
      <alignment horizontal="center" vertical="center" wrapText="1"/>
    </xf>
    <xf numFmtId="0" fontId="0" fillId="2" borderId="9" xfId="0" applyFill="1" applyBorder="1" applyAlignment="1">
      <alignment wrapText="1"/>
    </xf>
    <xf numFmtId="0" fontId="2" fillId="2" borderId="11" xfId="0" applyFont="1" applyFill="1" applyBorder="1" applyAlignment="1">
      <alignment horizontal="center"/>
    </xf>
    <xf numFmtId="0" fontId="0" fillId="2" borderId="10" xfId="0" applyFill="1" applyBorder="1"/>
    <xf numFmtId="0" fontId="0" fillId="2" borderId="11" xfId="0" applyFill="1" applyBorder="1"/>
    <xf numFmtId="0" fontId="0" fillId="2" borderId="12" xfId="0" applyFill="1" applyBorder="1"/>
    <xf numFmtId="0" fontId="0" fillId="2" borderId="10" xfId="0" applyFill="1" applyBorder="1" applyAlignment="1">
      <alignment horizontal="center"/>
    </xf>
    <xf numFmtId="0" fontId="0" fillId="2" borderId="12" xfId="0" applyFill="1" applyBorder="1" applyAlignment="1">
      <alignment vertical="center"/>
    </xf>
    <xf numFmtId="0" fontId="4" fillId="2" borderId="12" xfId="0" applyFont="1" applyFill="1" applyBorder="1"/>
    <xf numFmtId="0" fontId="2" fillId="3" borderId="3" xfId="0" applyFont="1" applyFill="1" applyBorder="1" applyAlignment="1">
      <alignment horizontal="center"/>
    </xf>
    <xf numFmtId="0" fontId="1" fillId="3" borderId="4" xfId="0" applyFont="1" applyFill="1" applyBorder="1" applyAlignment="1">
      <alignment horizontal="center" vertical="center"/>
    </xf>
    <xf numFmtId="0" fontId="1" fillId="3" borderId="2" xfId="0" applyFont="1" applyFill="1" applyBorder="1"/>
    <xf numFmtId="0" fontId="0" fillId="2" borderId="12" xfId="0" applyFill="1" applyBorder="1" applyAlignment="1">
      <alignment horizontal="center" vertical="center" wrapText="1"/>
    </xf>
    <xf numFmtId="0" fontId="2" fillId="0" borderId="1" xfId="0" applyFont="1" applyBorder="1" applyAlignment="1">
      <alignment horizontal="center" wrapText="1"/>
    </xf>
    <xf numFmtId="0" fontId="0" fillId="0" borderId="0" xfId="0" applyAlignment="1">
      <alignment wrapText="1"/>
    </xf>
    <xf numFmtId="0" fontId="0" fillId="0" borderId="1" xfId="0" applyBorder="1" applyAlignment="1">
      <alignment wrapText="1"/>
    </xf>
    <xf numFmtId="0" fontId="0" fillId="0" borderId="8" xfId="0" applyBorder="1" applyAlignment="1">
      <alignment wrapText="1"/>
    </xf>
    <xf numFmtId="0" fontId="0" fillId="0" borderId="8" xfId="0" applyBorder="1" applyAlignment="1">
      <alignment vertical="center" wrapText="1"/>
    </xf>
    <xf numFmtId="0" fontId="1" fillId="0" borderId="8" xfId="0" applyFont="1" applyBorder="1" applyAlignment="1">
      <alignment wrapText="1"/>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0" fillId="2" borderId="12" xfId="0" applyFill="1" applyBorder="1" applyAlignment="1">
      <alignment horizontal="center" wrapText="1"/>
    </xf>
    <xf numFmtId="0" fontId="0" fillId="0" borderId="4" xfId="0" applyBorder="1" applyAlignment="1">
      <alignment horizontal="center"/>
    </xf>
    <xf numFmtId="0" fontId="0" fillId="0" borderId="8" xfId="0" applyBorder="1" applyAlignment="1">
      <alignment horizontal="center"/>
    </xf>
    <xf numFmtId="0" fontId="1" fillId="3" borderId="4" xfId="0" applyFont="1" applyFill="1" applyBorder="1" applyAlignment="1">
      <alignment horizontal="center"/>
    </xf>
    <xf numFmtId="0" fontId="0" fillId="0" borderId="8" xfId="0" applyBorder="1" applyAlignment="1">
      <alignment horizontal="center" wrapText="1"/>
    </xf>
    <xf numFmtId="0" fontId="1" fillId="0" borderId="0" xfId="0" applyFont="1"/>
    <xf numFmtId="0" fontId="1" fillId="0" borderId="1" xfId="0" applyFont="1" applyBorder="1"/>
    <xf numFmtId="0" fontId="1" fillId="0" borderId="8" xfId="0" applyFont="1" applyBorder="1" applyAlignment="1">
      <alignment vertical="center"/>
    </xf>
    <xf numFmtId="0" fontId="1" fillId="0" borderId="8" xfId="0" applyFont="1" applyBorder="1" applyAlignment="1">
      <alignment horizontal="center" vertical="center"/>
    </xf>
    <xf numFmtId="0" fontId="0" fillId="0" borderId="5" xfId="0" applyBorder="1" applyAlignment="1">
      <alignment horizontal="center" vertical="center"/>
    </xf>
    <xf numFmtId="0" fontId="0" fillId="2" borderId="10" xfId="0" applyFill="1" applyBorder="1" applyAlignment="1">
      <alignment vertical="center"/>
    </xf>
    <xf numFmtId="0" fontId="0" fillId="2" borderId="11" xfId="0" applyFill="1" applyBorder="1" applyAlignment="1">
      <alignment vertical="center"/>
    </xf>
    <xf numFmtId="0" fontId="4" fillId="2" borderId="9" xfId="0" applyFont="1" applyFill="1" applyBorder="1" applyAlignment="1">
      <alignment horizontal="center" vertical="center" wrapText="1"/>
    </xf>
    <xf numFmtId="0" fontId="0" fillId="2" borderId="11" xfId="0" applyFill="1" applyBorder="1" applyAlignment="1">
      <alignment wrapText="1"/>
    </xf>
    <xf numFmtId="0" fontId="4" fillId="0" borderId="2" xfId="0" applyFont="1" applyBorder="1"/>
    <xf numFmtId="0" fontId="4" fillId="0" borderId="0" xfId="0" applyFont="1"/>
    <xf numFmtId="0" fontId="4" fillId="0" borderId="1" xfId="0" applyFont="1" applyBorder="1"/>
    <xf numFmtId="0" fontId="4" fillId="2" borderId="11" xfId="0" applyFont="1" applyFill="1" applyBorder="1"/>
    <xf numFmtId="0" fontId="0" fillId="2" borderId="9" xfId="0" applyFill="1" applyBorder="1"/>
    <xf numFmtId="0" fontId="0" fillId="0" borderId="13" xfId="0" applyBorder="1"/>
    <xf numFmtId="0" fontId="1" fillId="0" borderId="13" xfId="0" applyFont="1" applyBorder="1"/>
    <xf numFmtId="0" fontId="1" fillId="3" borderId="14" xfId="0" applyFont="1" applyFill="1"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wrapText="1"/>
    </xf>
    <xf numFmtId="0" fontId="4" fillId="2" borderId="9" xfId="0" applyFont="1" applyFill="1" applyBorder="1"/>
    <xf numFmtId="0" fontId="4" fillId="0" borderId="13" xfId="0" applyFont="1" applyBorder="1"/>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3" xfId="0" applyFont="1" applyBorder="1" applyAlignment="1">
      <alignment horizontal="center" vertical="center" wrapText="1"/>
    </xf>
    <xf numFmtId="0" fontId="0" fillId="2" borderId="6" xfId="0" applyFill="1" applyBorder="1"/>
    <xf numFmtId="0" fontId="4" fillId="0" borderId="6" xfId="0" applyFont="1" applyBorder="1"/>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2" borderId="12" xfId="0" applyFill="1" applyBorder="1" applyAlignment="1">
      <alignment horizontal="center" vertical="center" wrapText="1"/>
    </xf>
    <xf numFmtId="0" fontId="0" fillId="2" borderId="11" xfId="0" applyFill="1" applyBorder="1" applyAlignment="1">
      <alignment horizontal="center" vertical="center" wrapText="1"/>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4" fillId="0" borderId="8" xfId="0" applyFont="1" applyBorder="1" applyAlignment="1">
      <alignment horizontal="center" vertical="center"/>
    </xf>
    <xf numFmtId="0" fontId="4" fillId="0" borderId="1" xfId="0" applyFont="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1" fillId="3" borderId="4" xfId="0" applyFont="1" applyFill="1" applyBorder="1" applyAlignment="1">
      <alignment horizontal="center" vertical="center"/>
    </xf>
    <xf numFmtId="0" fontId="1" fillId="3" borderId="3" xfId="0" applyFont="1" applyFill="1" applyBorder="1" applyAlignment="1">
      <alignment horizontal="center" vertical="center"/>
    </xf>
    <xf numFmtId="0" fontId="0" fillId="0" borderId="6" xfId="0" applyBorder="1" applyAlignment="1">
      <alignment horizontal="center" vertical="center" wrapText="1"/>
    </xf>
    <xf numFmtId="0" fontId="0" fillId="2" borderId="10" xfId="0" applyFill="1" applyBorder="1" applyAlignment="1">
      <alignment horizontal="center" vertical="center" wrapText="1"/>
    </xf>
    <xf numFmtId="0" fontId="4" fillId="0" borderId="2" xfId="0" applyFont="1" applyBorder="1" applyAlignment="1">
      <alignment horizontal="center" vertical="center"/>
    </xf>
    <xf numFmtId="0" fontId="4" fillId="0" borderId="0" xfId="0" applyFont="1" applyAlignment="1">
      <alignment horizontal="center" vertical="center"/>
    </xf>
    <xf numFmtId="0" fontId="4" fillId="0" borderId="6" xfId="0" applyFont="1" applyBorder="1" applyAlignment="1">
      <alignment horizontal="center" vertical="center"/>
    </xf>
    <xf numFmtId="0" fontId="1" fillId="3" borderId="2" xfId="0" applyFont="1" applyFill="1" applyBorder="1" applyAlignment="1">
      <alignment horizontal="center" vertical="center"/>
    </xf>
    <xf numFmtId="0" fontId="1" fillId="0" borderId="8" xfId="0" applyFont="1" applyBorder="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1" fillId="0" borderId="8" xfId="0" applyFont="1" applyBorder="1" applyAlignment="1">
      <alignment horizontal="center"/>
    </xf>
    <xf numFmtId="0" fontId="1" fillId="0" borderId="0" xfId="0" applyFont="1" applyAlignment="1">
      <alignment horizontal="center"/>
    </xf>
    <xf numFmtId="0" fontId="1" fillId="0" borderId="1" xfId="0" applyFont="1" applyBorder="1" applyAlignment="1">
      <alignment horizontal="center"/>
    </xf>
    <xf numFmtId="0" fontId="1" fillId="0" borderId="8" xfId="0" applyFont="1" applyBorder="1" applyAlignment="1">
      <alignment horizontal="center"/>
      <extLst>
        <ext xmlns:xfpb="http://schemas.microsoft.com/office/spreadsheetml/2022/featurepropertybag" uri="{C7286773-470A-42A8-94C5-96B5CB345126}">
          <xfpb:xfComplement i="0"/>
        </ext>
      </extLst>
    </xf>
    <xf numFmtId="0" fontId="1" fillId="0" borderId="0" xfId="0" applyFont="1" applyAlignment="1">
      <alignment horizontal="center"/>
      <extLst>
        <ext xmlns:xfpb="http://schemas.microsoft.com/office/spreadsheetml/2022/featurepropertybag" uri="{C7286773-470A-42A8-94C5-96B5CB345126}">
          <xfpb:xfComplement i="0"/>
        </ext>
      </extLst>
    </xf>
    <xf numFmtId="0" fontId="1" fillId="0" borderId="1" xfId="0" applyFont="1" applyBorder="1" applyAlignment="1">
      <alignment horizontal="center"/>
      <extLst>
        <ext xmlns:xfpb="http://schemas.microsoft.com/office/spreadsheetml/2022/featurepropertybag" uri="{C7286773-470A-42A8-94C5-96B5CB345126}">
          <xfpb:xfComplement i="0"/>
        </ext>
      </extLst>
    </xf>
    <xf numFmtId="0" fontId="0" fillId="0" borderId="5" xfId="0" applyBorder="1" applyAlignment="1">
      <alignment horizontal="center" wrapText="1"/>
    </xf>
    <xf numFmtId="0" fontId="0" fillId="0" borderId="7" xfId="0" applyBorder="1" applyAlignment="1">
      <alignment horizontal="center" wrapText="1"/>
    </xf>
    <xf numFmtId="0" fontId="0" fillId="2" borderId="12" xfId="0" applyFill="1" applyBorder="1" applyAlignment="1">
      <alignment horizontal="center" wrapText="1"/>
    </xf>
    <xf numFmtId="0" fontId="0" fillId="2" borderId="11" xfId="0" applyFill="1" applyBorder="1" applyAlignment="1">
      <alignment horizontal="center" wrapText="1"/>
    </xf>
    <xf numFmtId="0" fontId="0" fillId="0" borderId="4" xfId="0" applyBorder="1" applyAlignment="1">
      <alignment horizontal="center"/>
    </xf>
    <xf numFmtId="0" fontId="0" fillId="0" borderId="3" xfId="0" applyBorder="1" applyAlignment="1">
      <alignment horizontal="center"/>
    </xf>
    <xf numFmtId="0" fontId="0" fillId="0" borderId="8" xfId="0" applyBorder="1" applyAlignment="1">
      <alignment horizontal="center"/>
    </xf>
    <xf numFmtId="0" fontId="0" fillId="0" borderId="1" xfId="0"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1" fillId="3" borderId="4" xfId="0" applyFont="1" applyFill="1" applyBorder="1" applyAlignment="1">
      <alignment horizontal="center"/>
    </xf>
    <xf numFmtId="0" fontId="1" fillId="3" borderId="3" xfId="0" applyFont="1" applyFill="1" applyBorder="1" applyAlignment="1">
      <alignment horizontal="center"/>
    </xf>
    <xf numFmtId="0" fontId="0" fillId="2" borderId="4"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9" xfId="0" applyFill="1" applyBorder="1" applyAlignment="1">
      <alignment horizontal="center" vertical="center" wrapText="1"/>
    </xf>
    <xf numFmtId="0" fontId="4" fillId="2" borderId="9" xfId="0" applyFont="1" applyFill="1" applyBorder="1" applyAlignment="1">
      <alignment horizontal="center" vertical="center" wrapText="1"/>
    </xf>
    <xf numFmtId="0" fontId="0" fillId="2" borderId="9" xfId="0" applyFill="1" applyBorder="1" applyAlignment="1">
      <alignment horizontal="center" wrapText="1"/>
    </xf>
    <xf numFmtId="0" fontId="5" fillId="3" borderId="4"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0" fillId="0" borderId="0" xfId="0" applyFill="1" applyBorder="1"/>
    <xf numFmtId="0" fontId="0" fillId="0" borderId="1" xfId="0" applyFill="1" applyBorder="1"/>
    <xf numFmtId="0" fontId="4" fillId="0" borderId="0" xfId="0" applyFont="1" applyBorder="1" applyAlignment="1">
      <alignment horizontal="center" vertical="center"/>
    </xf>
    <xf numFmtId="0" fontId="4" fillId="0" borderId="1" xfId="0" applyFont="1" applyFill="1" applyBorder="1"/>
    <xf numFmtId="0" fontId="4" fillId="0" borderId="4" xfId="0" applyFont="1" applyBorder="1" applyAlignment="1">
      <alignment vertical="center"/>
    </xf>
    <xf numFmtId="0" fontId="4" fillId="0" borderId="8" xfId="0" applyFont="1" applyBorder="1" applyAlignment="1">
      <alignment vertical="center"/>
    </xf>
    <xf numFmtId="0" fontId="4" fillId="0" borderId="5" xfId="0" applyFont="1" applyBorder="1" applyAlignment="1">
      <alignment vertical="center"/>
    </xf>
    <xf numFmtId="0" fontId="1" fillId="3" borderId="4" xfId="0" applyFont="1" applyFill="1" applyBorder="1" applyAlignment="1">
      <alignment vertical="center"/>
    </xf>
  </cellXfs>
  <cellStyles count="1">
    <cellStyle name="Normalny"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microsoft.com/office/2017/10/relationships/person" Target="persons/person.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6D37D-E9B6-410E-B001-5007674F1CE0}">
  <dimension ref="A1:X1716"/>
  <sheetViews>
    <sheetView tabSelected="1" workbookViewId="0">
      <pane ySplit="1" topLeftCell="A1684" activePane="bottomLeft" state="frozen"/>
      <selection pane="bottomLeft" activeCell="O1714" activeCellId="8" sqref="A1714:A1715 B1714:B1715 C1714:C1715 D1714:D1715 E1714:E1715 F1714:F1715 M1714:M1715 N1714:N1715 O1714:O1715"/>
    </sheetView>
  </sheetViews>
  <sheetFormatPr defaultRowHeight="15" x14ac:dyDescent="0.25"/>
  <cols>
    <col min="1" max="1" width="5" style="26" bestFit="1" customWidth="1"/>
    <col min="2" max="2" width="3" customWidth="1"/>
    <col min="3" max="3" width="3.140625" customWidth="1"/>
    <col min="4" max="4" width="5" customWidth="1"/>
    <col min="5" max="5" width="5.42578125" customWidth="1"/>
    <col min="6" max="6" width="5" style="2" customWidth="1"/>
    <col min="7" max="7" width="21.7109375" style="18" customWidth="1"/>
    <col min="8" max="8" width="22.140625" style="18" customWidth="1"/>
    <col min="9" max="9" width="9.7109375" customWidth="1"/>
    <col min="10" max="10" width="22.85546875" bestFit="1" customWidth="1"/>
    <col min="11" max="11" width="8.42578125" customWidth="1"/>
    <col min="12" max="12" width="7.5703125" customWidth="1"/>
    <col min="13" max="13" width="16.42578125" style="16" customWidth="1"/>
    <col min="14" max="14" width="16.140625" style="16" customWidth="1"/>
    <col min="15" max="15" width="15.42578125" style="29" customWidth="1"/>
    <col min="16" max="16" width="25" customWidth="1"/>
    <col min="17" max="17" width="9.140625" style="41"/>
    <col min="18" max="18" width="20.5703125" style="41" customWidth="1"/>
  </cols>
  <sheetData>
    <row r="1" spans="1:22" s="13" customFormat="1" ht="31.5" x14ac:dyDescent="0.25">
      <c r="A1" s="24" t="s">
        <v>18</v>
      </c>
      <c r="B1" s="12" t="s">
        <v>0</v>
      </c>
      <c r="C1" s="12" t="s">
        <v>1</v>
      </c>
      <c r="D1" s="12" t="s">
        <v>2</v>
      </c>
      <c r="E1" s="12" t="s">
        <v>7</v>
      </c>
      <c r="F1" s="11" t="s">
        <v>8</v>
      </c>
      <c r="G1" s="17" t="s">
        <v>3</v>
      </c>
      <c r="H1" s="17" t="s">
        <v>4</v>
      </c>
      <c r="I1" s="12" t="s">
        <v>25</v>
      </c>
      <c r="J1" s="12" t="s">
        <v>5</v>
      </c>
      <c r="K1" s="12" t="s">
        <v>41</v>
      </c>
      <c r="L1" s="12" t="s">
        <v>40</v>
      </c>
      <c r="M1" s="14" t="s">
        <v>6</v>
      </c>
      <c r="N1" s="14" t="s">
        <v>19</v>
      </c>
      <c r="O1" s="28" t="s">
        <v>404</v>
      </c>
      <c r="P1" s="12" t="s">
        <v>61</v>
      </c>
      <c r="Q1" s="12" t="s">
        <v>1058</v>
      </c>
      <c r="R1" s="12" t="s">
        <v>1455</v>
      </c>
    </row>
    <row r="2" spans="1:22" x14ac:dyDescent="0.25">
      <c r="A2" s="80">
        <v>1</v>
      </c>
      <c r="B2" s="94">
        <v>25</v>
      </c>
      <c r="C2" s="94">
        <v>8</v>
      </c>
      <c r="D2" s="94">
        <v>1724</v>
      </c>
      <c r="E2" s="94">
        <v>300</v>
      </c>
      <c r="F2" s="91">
        <v>305</v>
      </c>
      <c r="G2" s="18" t="s">
        <v>26</v>
      </c>
      <c r="H2" s="18" t="s">
        <v>10</v>
      </c>
      <c r="I2" t="s">
        <v>27</v>
      </c>
      <c r="J2" t="s">
        <v>17</v>
      </c>
      <c r="M2" s="121" t="s">
        <v>11</v>
      </c>
      <c r="N2" s="121" t="s">
        <v>9</v>
      </c>
      <c r="V2" t="s">
        <v>27</v>
      </c>
    </row>
    <row r="3" spans="1:22" x14ac:dyDescent="0.25">
      <c r="A3" s="87"/>
      <c r="B3" s="95"/>
      <c r="C3" s="95"/>
      <c r="D3" s="95"/>
      <c r="E3" s="95"/>
      <c r="F3" s="92"/>
      <c r="I3" t="s">
        <v>29</v>
      </c>
      <c r="J3" t="s">
        <v>28</v>
      </c>
      <c r="M3" s="121"/>
      <c r="N3" s="121"/>
      <c r="V3" t="s">
        <v>31</v>
      </c>
    </row>
    <row r="4" spans="1:22" x14ac:dyDescent="0.25">
      <c r="A4" s="87"/>
      <c r="B4" s="95"/>
      <c r="C4" s="95"/>
      <c r="D4" s="95"/>
      <c r="E4" s="95"/>
      <c r="F4" s="92"/>
      <c r="J4" t="s">
        <v>10</v>
      </c>
      <c r="M4" s="121"/>
      <c r="N4" s="121"/>
      <c r="V4" t="s">
        <v>29</v>
      </c>
    </row>
    <row r="5" spans="1:22" x14ac:dyDescent="0.25">
      <c r="A5" s="87"/>
      <c r="B5" s="95"/>
      <c r="C5" s="95"/>
      <c r="D5" s="95"/>
      <c r="E5" s="95"/>
      <c r="F5" s="92"/>
      <c r="I5" t="s">
        <v>339</v>
      </c>
      <c r="J5" t="s">
        <v>26</v>
      </c>
      <c r="M5" s="121"/>
      <c r="N5" s="121"/>
      <c r="V5" t="s">
        <v>35</v>
      </c>
    </row>
    <row r="6" spans="1:22" s="1" customFormat="1" x14ac:dyDescent="0.25">
      <c r="A6" s="81"/>
      <c r="B6" s="96"/>
      <c r="C6" s="96"/>
      <c r="D6" s="96"/>
      <c r="E6" s="96"/>
      <c r="F6" s="93"/>
      <c r="G6" s="19"/>
      <c r="H6" s="19"/>
      <c r="I6" s="1" t="s">
        <v>27</v>
      </c>
      <c r="J6" s="1" t="s">
        <v>30</v>
      </c>
      <c r="M6" s="121"/>
      <c r="N6" s="121"/>
      <c r="O6" s="30"/>
      <c r="Q6" s="42"/>
      <c r="R6" s="42"/>
      <c r="V6" t="s">
        <v>339</v>
      </c>
    </row>
    <row r="7" spans="1:22" x14ac:dyDescent="0.25">
      <c r="A7" s="80">
        <f>A2+1</f>
        <v>2</v>
      </c>
      <c r="B7" s="94">
        <v>25</v>
      </c>
      <c r="C7" s="94">
        <v>8</v>
      </c>
      <c r="D7" s="94">
        <v>1724</v>
      </c>
      <c r="E7" s="94">
        <v>300</v>
      </c>
      <c r="F7" s="91">
        <v>305</v>
      </c>
      <c r="G7" s="18" t="s">
        <v>12</v>
      </c>
      <c r="H7" s="18" t="s">
        <v>14</v>
      </c>
      <c r="I7" t="s">
        <v>27</v>
      </c>
      <c r="J7" t="s">
        <v>32</v>
      </c>
      <c r="M7" s="121" t="s">
        <v>13</v>
      </c>
      <c r="N7" s="121" t="s">
        <v>9</v>
      </c>
      <c r="V7" t="s">
        <v>340</v>
      </c>
    </row>
    <row r="8" spans="1:22" x14ac:dyDescent="0.25">
      <c r="A8" s="87"/>
      <c r="B8" s="95"/>
      <c r="C8" s="95"/>
      <c r="D8" s="95"/>
      <c r="E8" s="95"/>
      <c r="F8" s="92"/>
      <c r="I8" t="s">
        <v>31</v>
      </c>
      <c r="J8" t="s">
        <v>33</v>
      </c>
      <c r="M8" s="121"/>
      <c r="N8" s="121"/>
      <c r="V8" t="s">
        <v>103</v>
      </c>
    </row>
    <row r="9" spans="1:22" x14ac:dyDescent="0.25">
      <c r="A9" s="87"/>
      <c r="B9" s="95"/>
      <c r="C9" s="95"/>
      <c r="D9" s="95"/>
      <c r="E9" s="95"/>
      <c r="F9" s="92"/>
      <c r="J9" t="s">
        <v>14</v>
      </c>
      <c r="M9" s="121"/>
      <c r="N9" s="121"/>
      <c r="V9" t="s">
        <v>104</v>
      </c>
    </row>
    <row r="10" spans="1:22" s="1" customFormat="1" x14ac:dyDescent="0.25">
      <c r="A10" s="81"/>
      <c r="B10" s="96"/>
      <c r="C10" s="96"/>
      <c r="D10" s="96"/>
      <c r="E10" s="96"/>
      <c r="F10" s="93"/>
      <c r="G10" s="19"/>
      <c r="H10" s="19"/>
      <c r="J10" s="1" t="s">
        <v>12</v>
      </c>
      <c r="M10" s="121"/>
      <c r="N10" s="121"/>
      <c r="O10" s="30"/>
      <c r="Q10" s="42"/>
      <c r="R10" s="42"/>
      <c r="V10" s="1" t="s">
        <v>309</v>
      </c>
    </row>
    <row r="11" spans="1:22" x14ac:dyDescent="0.25">
      <c r="A11" s="80">
        <f>A2+2</f>
        <v>3</v>
      </c>
      <c r="B11" s="94">
        <v>25</v>
      </c>
      <c r="C11" s="94">
        <v>8</v>
      </c>
      <c r="D11" s="94">
        <v>1724</v>
      </c>
      <c r="E11" s="94">
        <v>301</v>
      </c>
      <c r="F11" s="91">
        <v>306</v>
      </c>
      <c r="G11" s="18" t="s">
        <v>14</v>
      </c>
      <c r="H11" s="18" t="s">
        <v>34</v>
      </c>
      <c r="I11" t="s">
        <v>27</v>
      </c>
      <c r="J11" t="s">
        <v>14</v>
      </c>
      <c r="M11" s="121" t="s">
        <v>13</v>
      </c>
      <c r="N11" s="121" t="s">
        <v>15</v>
      </c>
      <c r="V11" t="s">
        <v>310</v>
      </c>
    </row>
    <row r="12" spans="1:22" x14ac:dyDescent="0.25">
      <c r="A12" s="87"/>
      <c r="B12" s="95"/>
      <c r="C12" s="95"/>
      <c r="D12" s="95"/>
      <c r="E12" s="95"/>
      <c r="F12" s="92"/>
      <c r="I12" t="s">
        <v>31</v>
      </c>
      <c r="J12" t="s">
        <v>34</v>
      </c>
      <c r="M12" s="121"/>
      <c r="N12" s="121"/>
      <c r="V12" t="s">
        <v>1131</v>
      </c>
    </row>
    <row r="13" spans="1:22" s="1" customFormat="1" x14ac:dyDescent="0.25">
      <c r="A13" s="81"/>
      <c r="B13" s="96"/>
      <c r="C13" s="96"/>
      <c r="D13" s="96"/>
      <c r="E13" s="96"/>
      <c r="F13" s="93"/>
      <c r="G13" s="19"/>
      <c r="H13" s="19"/>
      <c r="J13" s="1" t="s">
        <v>16</v>
      </c>
      <c r="M13" s="121"/>
      <c r="N13" s="121"/>
      <c r="O13" s="30"/>
      <c r="Q13" s="42"/>
      <c r="R13" s="42"/>
      <c r="V13" s="1" t="s">
        <v>1130</v>
      </c>
    </row>
    <row r="14" spans="1:22" x14ac:dyDescent="0.25">
      <c r="A14" s="80">
        <f>A2+3</f>
        <v>4</v>
      </c>
      <c r="B14" s="94">
        <v>25</v>
      </c>
      <c r="C14" s="94">
        <v>8</v>
      </c>
      <c r="D14" s="94">
        <v>1724</v>
      </c>
      <c r="E14" s="94">
        <v>301</v>
      </c>
      <c r="F14" s="91">
        <v>306</v>
      </c>
      <c r="G14" s="18" t="s">
        <v>26</v>
      </c>
      <c r="H14" s="18" t="s">
        <v>10</v>
      </c>
      <c r="I14" t="s">
        <v>27</v>
      </c>
      <c r="J14" t="s">
        <v>37</v>
      </c>
      <c r="M14" s="121" t="s">
        <v>11</v>
      </c>
      <c r="N14" s="121" t="s">
        <v>9</v>
      </c>
      <c r="V14" t="s">
        <v>1540</v>
      </c>
    </row>
    <row r="15" spans="1:22" x14ac:dyDescent="0.25">
      <c r="A15" s="87"/>
      <c r="B15" s="95"/>
      <c r="C15" s="95"/>
      <c r="D15" s="95"/>
      <c r="E15" s="95"/>
      <c r="F15" s="92"/>
      <c r="J15" t="s">
        <v>17</v>
      </c>
      <c r="M15" s="121"/>
      <c r="N15" s="121"/>
      <c r="V15" t="s">
        <v>1551</v>
      </c>
    </row>
    <row r="16" spans="1:22" x14ac:dyDescent="0.25">
      <c r="A16" s="87"/>
      <c r="B16" s="95"/>
      <c r="C16" s="95"/>
      <c r="D16" s="95"/>
      <c r="E16" s="95"/>
      <c r="F16" s="92"/>
      <c r="J16" t="s">
        <v>10</v>
      </c>
      <c r="M16" s="121"/>
      <c r="N16" s="121"/>
      <c r="V16" t="s">
        <v>1552</v>
      </c>
    </row>
    <row r="17" spans="1:18" x14ac:dyDescent="0.25">
      <c r="A17" s="87"/>
      <c r="B17" s="95"/>
      <c r="C17" s="95"/>
      <c r="D17" s="95"/>
      <c r="E17" s="95"/>
      <c r="F17" s="92"/>
      <c r="I17" t="s">
        <v>339</v>
      </c>
      <c r="J17" t="s">
        <v>26</v>
      </c>
      <c r="M17" s="121"/>
      <c r="N17" s="121"/>
    </row>
    <row r="18" spans="1:18" s="1" customFormat="1" x14ac:dyDescent="0.25">
      <c r="A18" s="81"/>
      <c r="B18" s="96"/>
      <c r="C18" s="96"/>
      <c r="D18" s="96"/>
      <c r="E18" s="96"/>
      <c r="F18" s="93"/>
      <c r="G18" s="19"/>
      <c r="H18" s="19"/>
      <c r="I18" s="1" t="s">
        <v>27</v>
      </c>
      <c r="J18" s="1" t="s">
        <v>23</v>
      </c>
      <c r="M18" s="121"/>
      <c r="N18" s="121"/>
      <c r="O18" s="30"/>
      <c r="Q18" s="42"/>
      <c r="R18" s="42"/>
    </row>
    <row r="19" spans="1:18" x14ac:dyDescent="0.25">
      <c r="A19" s="80">
        <f>A2+4</f>
        <v>5</v>
      </c>
      <c r="B19" s="94">
        <v>25</v>
      </c>
      <c r="C19" s="94">
        <v>8</v>
      </c>
      <c r="D19" s="94">
        <v>1724</v>
      </c>
      <c r="E19" s="94">
        <v>301</v>
      </c>
      <c r="F19" s="91">
        <v>306</v>
      </c>
      <c r="G19" s="18" t="s">
        <v>22</v>
      </c>
      <c r="H19" s="18" t="s">
        <v>36</v>
      </c>
      <c r="I19" t="s">
        <v>27</v>
      </c>
      <c r="J19" t="s">
        <v>36</v>
      </c>
      <c r="M19" s="121" t="s">
        <v>21</v>
      </c>
      <c r="N19" s="121" t="s">
        <v>20</v>
      </c>
    </row>
    <row r="20" spans="1:18" x14ac:dyDescent="0.25">
      <c r="A20" s="87"/>
      <c r="B20" s="95"/>
      <c r="C20" s="95"/>
      <c r="D20" s="95"/>
      <c r="E20" s="95"/>
      <c r="F20" s="92"/>
      <c r="J20" t="s">
        <v>14</v>
      </c>
      <c r="M20" s="121"/>
      <c r="N20" s="121"/>
    </row>
    <row r="21" spans="1:18" s="6" customFormat="1" x14ac:dyDescent="0.25">
      <c r="A21" s="80">
        <f>A2+5</f>
        <v>6</v>
      </c>
      <c r="B21" s="94">
        <v>25</v>
      </c>
      <c r="C21" s="94">
        <v>8</v>
      </c>
      <c r="D21" s="94">
        <v>1724</v>
      </c>
      <c r="E21" s="94">
        <v>301</v>
      </c>
      <c r="F21" s="91">
        <v>306</v>
      </c>
      <c r="G21" s="20" t="s">
        <v>23</v>
      </c>
      <c r="H21" s="20" t="s">
        <v>24</v>
      </c>
      <c r="J21" s="6" t="s">
        <v>23</v>
      </c>
      <c r="M21" s="121" t="s">
        <v>38</v>
      </c>
      <c r="N21" s="121" t="s">
        <v>20</v>
      </c>
      <c r="O21" s="31"/>
      <c r="Q21" s="8"/>
      <c r="R21" s="8"/>
    </row>
    <row r="22" spans="1:18" x14ac:dyDescent="0.25">
      <c r="A22" s="87"/>
      <c r="B22" s="95"/>
      <c r="C22" s="95"/>
      <c r="D22" s="95"/>
      <c r="E22" s="95"/>
      <c r="F22" s="92"/>
      <c r="I22" t="s">
        <v>27</v>
      </c>
      <c r="J22" t="s">
        <v>24</v>
      </c>
      <c r="M22" s="121"/>
      <c r="N22" s="121"/>
    </row>
    <row r="23" spans="1:18" s="6" customFormat="1" x14ac:dyDescent="0.25">
      <c r="A23" s="80">
        <f>$A$2+6</f>
        <v>7</v>
      </c>
      <c r="B23" s="94">
        <v>30</v>
      </c>
      <c r="C23" s="94">
        <v>8</v>
      </c>
      <c r="D23" s="94">
        <v>1724</v>
      </c>
      <c r="E23" s="94">
        <v>302</v>
      </c>
      <c r="F23" s="91">
        <v>307</v>
      </c>
      <c r="G23" s="20" t="s">
        <v>39</v>
      </c>
      <c r="H23" s="20" t="s">
        <v>44</v>
      </c>
      <c r="I23" s="6" t="s">
        <v>27</v>
      </c>
      <c r="J23" s="6" t="s">
        <v>39</v>
      </c>
      <c r="K23" s="6" t="s">
        <v>45</v>
      </c>
      <c r="M23" s="121" t="s">
        <v>13</v>
      </c>
      <c r="N23" s="121" t="s">
        <v>9</v>
      </c>
      <c r="O23" s="31"/>
      <c r="Q23" s="8"/>
      <c r="R23" s="8"/>
    </row>
    <row r="24" spans="1:18" x14ac:dyDescent="0.25">
      <c r="A24" s="87"/>
      <c r="B24" s="95"/>
      <c r="C24" s="95"/>
      <c r="D24" s="95"/>
      <c r="E24" s="95"/>
      <c r="F24" s="92"/>
      <c r="J24" t="s">
        <v>42</v>
      </c>
      <c r="K24" t="s">
        <v>43</v>
      </c>
      <c r="M24" s="121"/>
      <c r="N24" s="121"/>
    </row>
    <row r="25" spans="1:18" x14ac:dyDescent="0.25">
      <c r="A25" s="87"/>
      <c r="B25" s="95"/>
      <c r="C25" s="95"/>
      <c r="D25" s="95"/>
      <c r="E25" s="95"/>
      <c r="F25" s="92"/>
      <c r="J25" t="s">
        <v>44</v>
      </c>
      <c r="K25" t="s">
        <v>46</v>
      </c>
      <c r="M25" s="121"/>
      <c r="N25" s="121"/>
    </row>
    <row r="26" spans="1:18" x14ac:dyDescent="0.25">
      <c r="A26" s="81"/>
      <c r="B26" s="96"/>
      <c r="C26" s="96"/>
      <c r="D26" s="96"/>
      <c r="E26" s="96"/>
      <c r="F26" s="93"/>
      <c r="I26" t="s">
        <v>339</v>
      </c>
      <c r="J26" t="s">
        <v>47</v>
      </c>
      <c r="M26" s="121"/>
      <c r="N26" s="121"/>
    </row>
    <row r="27" spans="1:18" s="6" customFormat="1" x14ac:dyDescent="0.25">
      <c r="A27" s="80">
        <f>$A$2+7</f>
        <v>8</v>
      </c>
      <c r="B27" s="94">
        <v>30</v>
      </c>
      <c r="C27" s="94">
        <v>8</v>
      </c>
      <c r="D27" s="94">
        <v>1724</v>
      </c>
      <c r="E27" s="94">
        <v>302</v>
      </c>
      <c r="F27" s="91">
        <v>307</v>
      </c>
      <c r="G27" s="20" t="s">
        <v>48</v>
      </c>
      <c r="H27" s="20" t="s">
        <v>51</v>
      </c>
      <c r="I27" s="6" t="s">
        <v>31</v>
      </c>
      <c r="J27" s="6" t="s">
        <v>48</v>
      </c>
      <c r="K27" s="6" t="s">
        <v>54</v>
      </c>
      <c r="L27" s="6" t="s">
        <v>49</v>
      </c>
      <c r="M27" s="121" t="s">
        <v>13</v>
      </c>
      <c r="N27" s="121" t="s">
        <v>53</v>
      </c>
      <c r="O27" s="31"/>
      <c r="Q27" s="8"/>
      <c r="R27" s="8"/>
    </row>
    <row r="28" spans="1:18" x14ac:dyDescent="0.25">
      <c r="A28" s="87"/>
      <c r="B28" s="95"/>
      <c r="C28" s="95"/>
      <c r="D28" s="95"/>
      <c r="E28" s="95"/>
      <c r="F28" s="92"/>
      <c r="G28" s="18" t="s">
        <v>50</v>
      </c>
      <c r="J28" t="s">
        <v>50</v>
      </c>
      <c r="M28" s="121"/>
      <c r="N28" s="121"/>
    </row>
    <row r="29" spans="1:18" x14ac:dyDescent="0.25">
      <c r="A29" s="81"/>
      <c r="B29" s="96"/>
      <c r="C29" s="96"/>
      <c r="D29" s="96"/>
      <c r="E29" s="96"/>
      <c r="F29" s="93"/>
      <c r="J29" t="s">
        <v>51</v>
      </c>
      <c r="K29" t="s">
        <v>54</v>
      </c>
      <c r="L29" t="s">
        <v>52</v>
      </c>
      <c r="M29" s="121"/>
      <c r="N29" s="121"/>
    </row>
    <row r="30" spans="1:18" s="6" customFormat="1" x14ac:dyDescent="0.25">
      <c r="A30" s="80">
        <f>$A$2+8</f>
        <v>9</v>
      </c>
      <c r="B30" s="94">
        <v>30</v>
      </c>
      <c r="C30" s="94">
        <v>8</v>
      </c>
      <c r="D30" s="94">
        <v>1724</v>
      </c>
      <c r="E30" s="94">
        <v>302</v>
      </c>
      <c r="F30" s="91">
        <v>307</v>
      </c>
      <c r="G30" s="20"/>
      <c r="H30" s="20"/>
      <c r="I30" s="6" t="s">
        <v>27</v>
      </c>
      <c r="J30" s="6" t="s">
        <v>23</v>
      </c>
      <c r="M30" s="121" t="s">
        <v>38</v>
      </c>
      <c r="N30" s="121" t="s">
        <v>9</v>
      </c>
      <c r="O30" s="31"/>
      <c r="P30" s="6" t="s">
        <v>62</v>
      </c>
      <c r="Q30" s="8"/>
      <c r="R30" s="8"/>
    </row>
    <row r="31" spans="1:18" x14ac:dyDescent="0.25">
      <c r="A31" s="87"/>
      <c r="B31" s="95"/>
      <c r="C31" s="95"/>
      <c r="D31" s="95"/>
      <c r="E31" s="95"/>
      <c r="F31" s="92"/>
      <c r="J31" t="s">
        <v>55</v>
      </c>
      <c r="M31" s="121"/>
      <c r="N31" s="121"/>
    </row>
    <row r="32" spans="1:18" x14ac:dyDescent="0.25">
      <c r="A32" s="87"/>
      <c r="B32" s="95"/>
      <c r="C32" s="95"/>
      <c r="D32" s="95"/>
      <c r="E32" s="95"/>
      <c r="F32" s="92"/>
      <c r="I32" t="s">
        <v>31</v>
      </c>
      <c r="J32" t="s">
        <v>56</v>
      </c>
      <c r="M32" s="121"/>
      <c r="N32" s="121"/>
    </row>
    <row r="33" spans="1:18" x14ac:dyDescent="0.25">
      <c r="A33" s="87"/>
      <c r="B33" s="95"/>
      <c r="C33" s="95"/>
      <c r="D33" s="95"/>
      <c r="E33" s="95"/>
      <c r="F33" s="92"/>
      <c r="J33" t="s">
        <v>57</v>
      </c>
      <c r="M33" s="121"/>
      <c r="N33" s="121"/>
    </row>
    <row r="34" spans="1:18" x14ac:dyDescent="0.25">
      <c r="A34" s="87"/>
      <c r="B34" s="95"/>
      <c r="C34" s="95"/>
      <c r="D34" s="95"/>
      <c r="E34" s="95"/>
      <c r="F34" s="92"/>
      <c r="G34" s="21"/>
      <c r="J34" t="s">
        <v>58</v>
      </c>
      <c r="M34" s="121"/>
      <c r="N34" s="121"/>
    </row>
    <row r="35" spans="1:18" x14ac:dyDescent="0.25">
      <c r="A35" s="87"/>
      <c r="B35" s="95"/>
      <c r="C35" s="95"/>
      <c r="D35" s="95"/>
      <c r="E35" s="95"/>
      <c r="F35" s="92"/>
      <c r="J35" t="s">
        <v>59</v>
      </c>
      <c r="L35" t="s">
        <v>67</v>
      </c>
      <c r="M35" s="121"/>
      <c r="N35" s="121"/>
    </row>
    <row r="36" spans="1:18" x14ac:dyDescent="0.25">
      <c r="A36" s="87"/>
      <c r="B36" s="95"/>
      <c r="C36" s="95"/>
      <c r="D36" s="95"/>
      <c r="E36" s="95"/>
      <c r="F36" s="92"/>
      <c r="J36" t="s">
        <v>60</v>
      </c>
      <c r="M36" s="121"/>
      <c r="N36" s="121"/>
    </row>
    <row r="37" spans="1:18" x14ac:dyDescent="0.25">
      <c r="A37" s="87"/>
      <c r="B37" s="95"/>
      <c r="C37" s="95"/>
      <c r="D37" s="95"/>
      <c r="E37" s="95"/>
      <c r="F37" s="92"/>
      <c r="J37" t="s">
        <v>63</v>
      </c>
      <c r="L37" t="s">
        <v>66</v>
      </c>
      <c r="M37" s="121"/>
      <c r="N37" s="121"/>
    </row>
    <row r="38" spans="1:18" x14ac:dyDescent="0.25">
      <c r="A38" s="87"/>
      <c r="B38" s="95"/>
      <c r="C38" s="95"/>
      <c r="D38" s="95"/>
      <c r="E38" s="95"/>
      <c r="F38" s="92"/>
      <c r="J38" t="s">
        <v>64</v>
      </c>
      <c r="M38" s="121"/>
      <c r="N38" s="121"/>
    </row>
    <row r="39" spans="1:18" x14ac:dyDescent="0.25">
      <c r="A39" s="87"/>
      <c r="B39" s="95"/>
      <c r="C39" s="95"/>
      <c r="D39" s="95"/>
      <c r="E39" s="95"/>
      <c r="F39" s="92"/>
      <c r="J39" t="s">
        <v>65</v>
      </c>
      <c r="L39" t="s">
        <v>66</v>
      </c>
      <c r="M39" s="121"/>
      <c r="N39" s="121"/>
    </row>
    <row r="40" spans="1:18" x14ac:dyDescent="0.25">
      <c r="A40" s="87"/>
      <c r="B40" s="95"/>
      <c r="C40" s="95"/>
      <c r="D40" s="95"/>
      <c r="E40" s="95"/>
      <c r="F40" s="92"/>
      <c r="J40" t="s">
        <v>68</v>
      </c>
      <c r="L40" t="s">
        <v>70</v>
      </c>
      <c r="M40" s="121"/>
      <c r="N40" s="121"/>
    </row>
    <row r="41" spans="1:18" x14ac:dyDescent="0.25">
      <c r="A41" s="87"/>
      <c r="B41" s="95"/>
      <c r="C41" s="95"/>
      <c r="D41" s="95"/>
      <c r="E41" s="95"/>
      <c r="F41" s="92"/>
      <c r="J41" t="s">
        <v>69</v>
      </c>
      <c r="L41" t="s">
        <v>70</v>
      </c>
      <c r="M41" s="121"/>
      <c r="N41" s="121"/>
    </row>
    <row r="42" spans="1:18" x14ac:dyDescent="0.25">
      <c r="A42" s="81"/>
      <c r="B42" s="96"/>
      <c r="C42" s="96"/>
      <c r="D42" s="96"/>
      <c r="E42" s="96"/>
      <c r="F42" s="93"/>
      <c r="J42" t="s">
        <v>71</v>
      </c>
      <c r="K42" t="s">
        <v>72</v>
      </c>
      <c r="M42" s="121"/>
      <c r="N42" s="121"/>
    </row>
    <row r="43" spans="1:18" s="6" customFormat="1" x14ac:dyDescent="0.25">
      <c r="A43" s="80">
        <f>$A$2+9</f>
        <v>10</v>
      </c>
      <c r="B43" s="94">
        <v>30</v>
      </c>
      <c r="C43" s="94">
        <v>8</v>
      </c>
      <c r="D43" s="94">
        <v>1724</v>
      </c>
      <c r="E43" s="94">
        <v>303</v>
      </c>
      <c r="F43" s="91">
        <v>308</v>
      </c>
      <c r="G43" s="20"/>
      <c r="H43" s="20"/>
      <c r="I43" s="6" t="s">
        <v>27</v>
      </c>
      <c r="J43" s="6" t="s">
        <v>14</v>
      </c>
      <c r="M43" s="121" t="s">
        <v>79</v>
      </c>
      <c r="N43" s="121" t="s">
        <v>9</v>
      </c>
      <c r="O43" s="31"/>
      <c r="P43" s="6" t="s">
        <v>82</v>
      </c>
      <c r="Q43" s="8"/>
      <c r="R43" s="8"/>
    </row>
    <row r="44" spans="1:18" x14ac:dyDescent="0.25">
      <c r="A44" s="87"/>
      <c r="B44" s="95"/>
      <c r="C44" s="95"/>
      <c r="D44" s="95"/>
      <c r="E44" s="95"/>
      <c r="F44" s="92"/>
      <c r="I44" t="s">
        <v>27</v>
      </c>
      <c r="J44" t="s">
        <v>73</v>
      </c>
      <c r="L44" t="s">
        <v>74</v>
      </c>
      <c r="M44" s="121"/>
      <c r="N44" s="121"/>
    </row>
    <row r="45" spans="1:18" x14ac:dyDescent="0.25">
      <c r="A45" s="87"/>
      <c r="B45" s="95"/>
      <c r="C45" s="95"/>
      <c r="D45" s="95"/>
      <c r="E45" s="95"/>
      <c r="F45" s="92"/>
      <c r="J45" t="s">
        <v>75</v>
      </c>
      <c r="L45" t="s">
        <v>76</v>
      </c>
      <c r="M45" s="121"/>
      <c r="N45" s="121"/>
    </row>
    <row r="46" spans="1:18" x14ac:dyDescent="0.25">
      <c r="A46" s="87"/>
      <c r="B46" s="95"/>
      <c r="C46" s="95"/>
      <c r="D46" s="95"/>
      <c r="E46" s="95"/>
      <c r="F46" s="92"/>
      <c r="I46" t="s">
        <v>339</v>
      </c>
      <c r="J46" t="s">
        <v>77</v>
      </c>
      <c r="L46" t="s">
        <v>78</v>
      </c>
      <c r="M46" s="121"/>
      <c r="N46" s="121"/>
    </row>
    <row r="47" spans="1:18" x14ac:dyDescent="0.25">
      <c r="A47" s="87"/>
      <c r="B47" s="95"/>
      <c r="C47" s="95"/>
      <c r="D47" s="95"/>
      <c r="E47" s="95"/>
      <c r="F47" s="92"/>
      <c r="J47" t="s">
        <v>63</v>
      </c>
      <c r="L47" t="s">
        <v>80</v>
      </c>
      <c r="M47" s="121"/>
      <c r="N47" s="121"/>
    </row>
    <row r="48" spans="1:18" x14ac:dyDescent="0.25">
      <c r="A48" s="81"/>
      <c r="B48" s="96"/>
      <c r="C48" s="96"/>
      <c r="D48" s="96"/>
      <c r="E48" s="96"/>
      <c r="F48" s="93"/>
      <c r="J48" t="s">
        <v>81</v>
      </c>
      <c r="M48" s="121"/>
      <c r="N48" s="121"/>
    </row>
    <row r="49" spans="1:18" s="6" customFormat="1" x14ac:dyDescent="0.25">
      <c r="A49" s="80">
        <f>$A$2+10</f>
        <v>11</v>
      </c>
      <c r="B49" s="94">
        <v>30</v>
      </c>
      <c r="C49" s="94">
        <v>8</v>
      </c>
      <c r="D49" s="94">
        <v>1724</v>
      </c>
      <c r="E49" s="94">
        <v>304</v>
      </c>
      <c r="F49" s="91">
        <v>309</v>
      </c>
      <c r="G49" s="20" t="s">
        <v>83</v>
      </c>
      <c r="H49" s="20" t="s">
        <v>85</v>
      </c>
      <c r="J49" s="6" t="s">
        <v>83</v>
      </c>
      <c r="M49" s="121" t="s">
        <v>86</v>
      </c>
      <c r="N49" s="121" t="s">
        <v>84</v>
      </c>
      <c r="O49" s="31"/>
      <c r="Q49" s="8"/>
      <c r="R49" s="8"/>
    </row>
    <row r="50" spans="1:18" x14ac:dyDescent="0.25">
      <c r="A50" s="81"/>
      <c r="B50" s="96"/>
      <c r="C50" s="96"/>
      <c r="D50" s="96"/>
      <c r="E50" s="96"/>
      <c r="F50" s="93"/>
      <c r="J50" t="s">
        <v>85</v>
      </c>
      <c r="M50" s="121"/>
      <c r="N50" s="121"/>
    </row>
    <row r="51" spans="1:18" s="6" customFormat="1" x14ac:dyDescent="0.25">
      <c r="A51" s="80">
        <f>$A$2+11</f>
        <v>12</v>
      </c>
      <c r="B51" s="94">
        <v>30</v>
      </c>
      <c r="C51" s="94">
        <v>8</v>
      </c>
      <c r="D51" s="94">
        <v>1724</v>
      </c>
      <c r="E51" s="94">
        <v>304</v>
      </c>
      <c r="F51" s="91">
        <v>309</v>
      </c>
      <c r="G51" s="20" t="s">
        <v>87</v>
      </c>
      <c r="H51" s="20" t="s">
        <v>85</v>
      </c>
      <c r="I51" s="6" t="s">
        <v>27</v>
      </c>
      <c r="J51" s="6" t="s">
        <v>87</v>
      </c>
      <c r="M51" s="121" t="s">
        <v>13</v>
      </c>
      <c r="N51" s="121" t="s">
        <v>53</v>
      </c>
      <c r="O51" s="31"/>
      <c r="Q51" s="8"/>
      <c r="R51" s="8"/>
    </row>
    <row r="52" spans="1:18" x14ac:dyDescent="0.25">
      <c r="A52" s="87"/>
      <c r="B52" s="95"/>
      <c r="C52" s="95"/>
      <c r="D52" s="95"/>
      <c r="E52" s="95"/>
      <c r="F52" s="92"/>
      <c r="G52" s="18" t="s">
        <v>88</v>
      </c>
      <c r="H52" s="18" t="s">
        <v>89</v>
      </c>
      <c r="J52" t="s">
        <v>88</v>
      </c>
      <c r="M52" s="121"/>
      <c r="N52" s="121"/>
    </row>
    <row r="53" spans="1:18" x14ac:dyDescent="0.25">
      <c r="A53" s="87"/>
      <c r="B53" s="95"/>
      <c r="C53" s="95"/>
      <c r="D53" s="95"/>
      <c r="E53" s="95"/>
      <c r="F53" s="92"/>
      <c r="J53" t="s">
        <v>90</v>
      </c>
      <c r="L53" t="s">
        <v>92</v>
      </c>
      <c r="M53" s="121"/>
      <c r="N53" s="121"/>
    </row>
    <row r="54" spans="1:18" x14ac:dyDescent="0.25">
      <c r="A54" s="87"/>
      <c r="B54" s="95"/>
      <c r="C54" s="95"/>
      <c r="D54" s="95"/>
      <c r="E54" s="95"/>
      <c r="F54" s="92"/>
      <c r="J54" t="s">
        <v>85</v>
      </c>
      <c r="M54" s="121"/>
      <c r="N54" s="121"/>
    </row>
    <row r="55" spans="1:18" x14ac:dyDescent="0.25">
      <c r="A55" s="87"/>
      <c r="B55" s="95"/>
      <c r="C55" s="95"/>
      <c r="D55" s="95"/>
      <c r="E55" s="95"/>
      <c r="F55" s="92"/>
      <c r="J55" t="s">
        <v>89</v>
      </c>
      <c r="M55" s="121"/>
      <c r="N55" s="121"/>
    </row>
    <row r="56" spans="1:18" x14ac:dyDescent="0.25">
      <c r="A56" s="87"/>
      <c r="B56" s="95"/>
      <c r="C56" s="95"/>
      <c r="D56" s="95"/>
      <c r="E56" s="95"/>
      <c r="F56" s="92"/>
      <c r="J56" t="s">
        <v>91</v>
      </c>
      <c r="M56" s="121"/>
      <c r="N56" s="121"/>
    </row>
    <row r="57" spans="1:18" x14ac:dyDescent="0.25">
      <c r="A57" s="81"/>
      <c r="B57" s="96"/>
      <c r="C57" s="96"/>
      <c r="D57" s="96"/>
      <c r="E57" s="96"/>
      <c r="F57" s="93"/>
      <c r="I57" t="s">
        <v>27</v>
      </c>
      <c r="J57" t="s">
        <v>93</v>
      </c>
      <c r="M57" s="121"/>
      <c r="N57" s="121"/>
    </row>
    <row r="58" spans="1:18" s="5" customFormat="1" ht="45" x14ac:dyDescent="0.25">
      <c r="A58" s="25">
        <f>$A$2+12</f>
        <v>13</v>
      </c>
      <c r="B58" s="4">
        <v>1</v>
      </c>
      <c r="C58" s="4">
        <v>9</v>
      </c>
      <c r="D58" s="4">
        <v>1724</v>
      </c>
      <c r="E58" s="4">
        <v>305</v>
      </c>
      <c r="F58" s="3">
        <v>310</v>
      </c>
      <c r="G58" s="22" t="s">
        <v>96</v>
      </c>
      <c r="H58" s="22"/>
      <c r="J58" s="5" t="s">
        <v>94</v>
      </c>
      <c r="K58" s="5" t="s">
        <v>95</v>
      </c>
      <c r="M58" s="15" t="s">
        <v>97</v>
      </c>
      <c r="N58" s="15" t="s">
        <v>84</v>
      </c>
      <c r="O58" s="32"/>
      <c r="P58" s="5" t="s">
        <v>98</v>
      </c>
      <c r="Q58" s="43"/>
      <c r="R58" s="43"/>
    </row>
    <row r="59" spans="1:18" s="6" customFormat="1" x14ac:dyDescent="0.25">
      <c r="A59" s="80">
        <f>$A$2+13</f>
        <v>14</v>
      </c>
      <c r="B59" s="97">
        <v>1</v>
      </c>
      <c r="C59" s="94">
        <v>9</v>
      </c>
      <c r="D59" s="94">
        <v>1724</v>
      </c>
      <c r="E59" s="94">
        <v>305</v>
      </c>
      <c r="F59" s="91">
        <v>310</v>
      </c>
      <c r="G59" s="20"/>
      <c r="H59" s="20"/>
      <c r="I59" s="6" t="s">
        <v>27</v>
      </c>
      <c r="J59" s="6" t="s">
        <v>23</v>
      </c>
      <c r="M59" s="121" t="s">
        <v>108</v>
      </c>
      <c r="N59" s="121" t="s">
        <v>9</v>
      </c>
      <c r="O59" s="31"/>
      <c r="Q59" s="8"/>
      <c r="R59" s="8"/>
    </row>
    <row r="60" spans="1:18" x14ac:dyDescent="0.25">
      <c r="A60" s="87"/>
      <c r="B60" s="98"/>
      <c r="C60" s="95"/>
      <c r="D60" s="95"/>
      <c r="E60" s="95"/>
      <c r="F60" s="92"/>
      <c r="I60" t="s">
        <v>31</v>
      </c>
      <c r="J60" t="s">
        <v>99</v>
      </c>
      <c r="M60" s="121"/>
      <c r="N60" s="121"/>
    </row>
    <row r="61" spans="1:18" x14ac:dyDescent="0.25">
      <c r="A61" s="87"/>
      <c r="B61" s="98"/>
      <c r="C61" s="95"/>
      <c r="D61" s="95"/>
      <c r="E61" s="95"/>
      <c r="F61" s="92"/>
      <c r="J61" t="s">
        <v>100</v>
      </c>
      <c r="M61" s="121"/>
      <c r="N61" s="121"/>
    </row>
    <row r="62" spans="1:18" x14ac:dyDescent="0.25">
      <c r="A62" s="87"/>
      <c r="B62" s="98"/>
      <c r="C62" s="95"/>
      <c r="D62" s="95"/>
      <c r="E62" s="95"/>
      <c r="F62" s="92"/>
      <c r="J62" t="s">
        <v>101</v>
      </c>
      <c r="M62" s="121"/>
      <c r="N62" s="121"/>
    </row>
    <row r="63" spans="1:18" x14ac:dyDescent="0.25">
      <c r="A63" s="87"/>
      <c r="B63" s="98"/>
      <c r="C63" s="95"/>
      <c r="D63" s="95"/>
      <c r="E63" s="95"/>
      <c r="F63" s="92"/>
      <c r="J63" t="s">
        <v>102</v>
      </c>
      <c r="M63" s="121"/>
      <c r="N63" s="121"/>
    </row>
    <row r="64" spans="1:18" x14ac:dyDescent="0.25">
      <c r="A64" s="81"/>
      <c r="B64" s="99"/>
      <c r="C64" s="96"/>
      <c r="D64" s="96"/>
      <c r="E64" s="96"/>
      <c r="F64" s="93"/>
      <c r="J64" t="s">
        <v>59</v>
      </c>
      <c r="M64" s="121"/>
      <c r="N64" s="121"/>
    </row>
    <row r="65" spans="1:18" s="6" customFormat="1" x14ac:dyDescent="0.25">
      <c r="A65" s="80">
        <f>$A$2+14</f>
        <v>15</v>
      </c>
      <c r="B65" s="97">
        <v>1</v>
      </c>
      <c r="C65" s="94">
        <v>9</v>
      </c>
      <c r="D65" s="94">
        <v>1724</v>
      </c>
      <c r="E65" s="94">
        <v>305</v>
      </c>
      <c r="F65" s="91">
        <v>310</v>
      </c>
      <c r="G65" s="20" t="s">
        <v>105</v>
      </c>
      <c r="H65" s="20" t="s">
        <v>109</v>
      </c>
      <c r="I65" s="6" t="s">
        <v>103</v>
      </c>
      <c r="J65" s="6" t="s">
        <v>105</v>
      </c>
      <c r="L65" s="6" t="s">
        <v>110</v>
      </c>
      <c r="M65" s="121" t="s">
        <v>114</v>
      </c>
      <c r="N65" s="121" t="s">
        <v>9</v>
      </c>
      <c r="O65" s="31"/>
      <c r="P65" s="6" t="s">
        <v>115</v>
      </c>
      <c r="Q65" s="8"/>
      <c r="R65" s="8"/>
    </row>
    <row r="66" spans="1:18" x14ac:dyDescent="0.25">
      <c r="A66" s="87"/>
      <c r="B66" s="98"/>
      <c r="C66" s="95"/>
      <c r="D66" s="95"/>
      <c r="E66" s="95"/>
      <c r="F66" s="92"/>
      <c r="I66" t="s">
        <v>29</v>
      </c>
      <c r="J66" t="s">
        <v>106</v>
      </c>
      <c r="L66" t="s">
        <v>107</v>
      </c>
      <c r="M66" s="121"/>
      <c r="N66" s="121"/>
    </row>
    <row r="67" spans="1:18" x14ac:dyDescent="0.25">
      <c r="A67" s="87"/>
      <c r="B67" s="98"/>
      <c r="C67" s="95"/>
      <c r="D67" s="95"/>
      <c r="E67" s="95"/>
      <c r="F67" s="92"/>
      <c r="J67" t="s">
        <v>109</v>
      </c>
      <c r="L67" t="s">
        <v>111</v>
      </c>
      <c r="M67" s="121"/>
      <c r="N67" s="121"/>
    </row>
    <row r="68" spans="1:18" x14ac:dyDescent="0.25">
      <c r="A68" s="87"/>
      <c r="B68" s="98"/>
      <c r="C68" s="95"/>
      <c r="D68" s="95"/>
      <c r="E68" s="95"/>
      <c r="F68" s="92"/>
      <c r="J68" t="s">
        <v>112</v>
      </c>
      <c r="M68" s="121"/>
      <c r="N68" s="121"/>
    </row>
    <row r="69" spans="1:18" x14ac:dyDescent="0.25">
      <c r="A69" s="81"/>
      <c r="B69" s="99"/>
      <c r="C69" s="96"/>
      <c r="D69" s="96"/>
      <c r="E69" s="96"/>
      <c r="F69" s="93"/>
      <c r="J69" t="s">
        <v>113</v>
      </c>
      <c r="M69" s="121"/>
      <c r="N69" s="121"/>
    </row>
    <row r="70" spans="1:18" s="6" customFormat="1" x14ac:dyDescent="0.25">
      <c r="A70" s="80">
        <f>$A$2+15</f>
        <v>16</v>
      </c>
      <c r="B70" s="97">
        <v>9</v>
      </c>
      <c r="C70" s="94">
        <v>9</v>
      </c>
      <c r="D70" s="94">
        <v>1724</v>
      </c>
      <c r="E70" s="94">
        <v>306</v>
      </c>
      <c r="F70" s="91">
        <v>311</v>
      </c>
      <c r="G70" s="20" t="s">
        <v>116</v>
      </c>
      <c r="H70" s="20" t="s">
        <v>118</v>
      </c>
      <c r="J70" s="6" t="s">
        <v>116</v>
      </c>
      <c r="K70" s="6" t="s">
        <v>117</v>
      </c>
      <c r="M70" s="121" t="s">
        <v>128</v>
      </c>
      <c r="N70" s="121" t="s">
        <v>53</v>
      </c>
      <c r="O70" s="31"/>
      <c r="Q70" s="8"/>
      <c r="R70" s="8"/>
    </row>
    <row r="71" spans="1:18" x14ac:dyDescent="0.25">
      <c r="A71" s="87"/>
      <c r="B71" s="98"/>
      <c r="C71" s="95"/>
      <c r="D71" s="95"/>
      <c r="E71" s="95"/>
      <c r="F71" s="92"/>
      <c r="J71" t="s">
        <v>118</v>
      </c>
      <c r="L71" t="s">
        <v>119</v>
      </c>
      <c r="M71" s="121"/>
      <c r="N71" s="121"/>
    </row>
    <row r="72" spans="1:18" x14ac:dyDescent="0.25">
      <c r="A72" s="87"/>
      <c r="B72" s="98"/>
      <c r="C72" s="95"/>
      <c r="D72" s="95"/>
      <c r="E72" s="95"/>
      <c r="F72" s="92"/>
      <c r="J72" t="s">
        <v>120</v>
      </c>
      <c r="M72" s="121"/>
      <c r="N72" s="121"/>
    </row>
    <row r="73" spans="1:18" x14ac:dyDescent="0.25">
      <c r="A73" s="81"/>
      <c r="B73" s="99"/>
      <c r="C73" s="96"/>
      <c r="D73" s="96"/>
      <c r="E73" s="96"/>
      <c r="F73" s="93"/>
      <c r="J73" t="s">
        <v>121</v>
      </c>
      <c r="L73" t="s">
        <v>122</v>
      </c>
      <c r="M73" s="121"/>
      <c r="N73" s="121"/>
    </row>
    <row r="74" spans="1:18" s="6" customFormat="1" x14ac:dyDescent="0.25">
      <c r="A74" s="80">
        <f>$A$2+16</f>
        <v>17</v>
      </c>
      <c r="B74" s="97">
        <v>12</v>
      </c>
      <c r="C74" s="94">
        <v>9</v>
      </c>
      <c r="D74" s="94">
        <v>1724</v>
      </c>
      <c r="E74" s="94">
        <v>307</v>
      </c>
      <c r="F74" s="91">
        <v>312</v>
      </c>
      <c r="G74" s="20" t="s">
        <v>36</v>
      </c>
      <c r="H74" s="20" t="s">
        <v>14</v>
      </c>
      <c r="I74" s="6" t="s">
        <v>27</v>
      </c>
      <c r="J74" s="6" t="s">
        <v>36</v>
      </c>
      <c r="M74" s="121" t="s">
        <v>127</v>
      </c>
      <c r="N74" s="121" t="s">
        <v>20</v>
      </c>
      <c r="O74" s="31"/>
      <c r="Q74" s="8"/>
      <c r="R74" s="8"/>
    </row>
    <row r="75" spans="1:18" x14ac:dyDescent="0.25">
      <c r="A75" s="87"/>
      <c r="B75" s="98"/>
      <c r="C75" s="95"/>
      <c r="D75" s="95"/>
      <c r="E75" s="95"/>
      <c r="F75" s="92"/>
      <c r="I75" t="s">
        <v>27</v>
      </c>
      <c r="J75" t="s">
        <v>123</v>
      </c>
      <c r="M75" s="121"/>
      <c r="N75" s="121"/>
    </row>
    <row r="76" spans="1:18" x14ac:dyDescent="0.25">
      <c r="A76" s="87"/>
      <c r="B76" s="98"/>
      <c r="C76" s="95"/>
      <c r="D76" s="95"/>
      <c r="E76" s="95"/>
      <c r="F76" s="92"/>
      <c r="J76" t="s">
        <v>124</v>
      </c>
      <c r="L76" t="s">
        <v>126</v>
      </c>
      <c r="M76" s="121"/>
      <c r="N76" s="121"/>
    </row>
    <row r="77" spans="1:18" x14ac:dyDescent="0.25">
      <c r="A77" s="81"/>
      <c r="B77" s="99"/>
      <c r="C77" s="96"/>
      <c r="D77" s="96"/>
      <c r="E77" s="96"/>
      <c r="F77" s="93"/>
      <c r="J77" t="s">
        <v>125</v>
      </c>
      <c r="L77" t="s">
        <v>126</v>
      </c>
      <c r="M77" s="121"/>
      <c r="N77" s="121"/>
    </row>
    <row r="78" spans="1:18" s="6" customFormat="1" x14ac:dyDescent="0.25">
      <c r="A78" s="80">
        <f>$A$2+17</f>
        <v>18</v>
      </c>
      <c r="B78" s="97">
        <v>15</v>
      </c>
      <c r="C78" s="94">
        <v>9</v>
      </c>
      <c r="D78" s="94">
        <v>1724</v>
      </c>
      <c r="E78" s="94">
        <v>307</v>
      </c>
      <c r="F78" s="91">
        <v>312</v>
      </c>
      <c r="G78" s="20" t="s">
        <v>129</v>
      </c>
      <c r="H78" s="20" t="s">
        <v>109</v>
      </c>
      <c r="I78" s="6" t="s">
        <v>103</v>
      </c>
      <c r="J78" s="6" t="s">
        <v>129</v>
      </c>
      <c r="L78" s="6" t="s">
        <v>130</v>
      </c>
      <c r="M78" s="121" t="s">
        <v>131</v>
      </c>
      <c r="N78" s="121" t="s">
        <v>53</v>
      </c>
      <c r="O78" s="31"/>
      <c r="P78" s="6" t="s">
        <v>132</v>
      </c>
      <c r="Q78" s="8"/>
      <c r="R78" s="8"/>
    </row>
    <row r="79" spans="1:18" x14ac:dyDescent="0.25">
      <c r="A79" s="81"/>
      <c r="B79" s="99"/>
      <c r="C79" s="96"/>
      <c r="D79" s="96"/>
      <c r="E79" s="96"/>
      <c r="F79" s="93"/>
      <c r="J79" t="s">
        <v>109</v>
      </c>
      <c r="M79" s="121"/>
      <c r="N79" s="121"/>
    </row>
    <row r="80" spans="1:18" s="6" customFormat="1" x14ac:dyDescent="0.25">
      <c r="A80" s="80">
        <f>$A$2+18</f>
        <v>19</v>
      </c>
      <c r="B80" s="97">
        <v>15</v>
      </c>
      <c r="C80" s="94">
        <v>9</v>
      </c>
      <c r="D80" s="94">
        <v>1724</v>
      </c>
      <c r="E80" s="94">
        <v>308</v>
      </c>
      <c r="F80" s="91">
        <v>313</v>
      </c>
      <c r="G80" s="20" t="s">
        <v>87</v>
      </c>
      <c r="H80" s="20" t="s">
        <v>133</v>
      </c>
      <c r="J80" s="6" t="s">
        <v>87</v>
      </c>
      <c r="M80" s="121" t="s">
        <v>134</v>
      </c>
      <c r="N80" s="121" t="s">
        <v>53</v>
      </c>
      <c r="O80" s="31"/>
      <c r="P80" s="6" t="s">
        <v>135</v>
      </c>
      <c r="Q80" s="8"/>
      <c r="R80" s="8"/>
    </row>
    <row r="81" spans="1:18" x14ac:dyDescent="0.25">
      <c r="A81" s="81"/>
      <c r="B81" s="99"/>
      <c r="C81" s="96"/>
      <c r="D81" s="96"/>
      <c r="E81" s="96"/>
      <c r="F81" s="93"/>
      <c r="J81" t="s">
        <v>133</v>
      </c>
      <c r="M81" s="121"/>
      <c r="N81" s="121"/>
    </row>
    <row r="82" spans="1:18" s="6" customFormat="1" x14ac:dyDescent="0.25">
      <c r="A82" s="80">
        <f>$A$2+19</f>
        <v>20</v>
      </c>
      <c r="B82" s="97">
        <v>16</v>
      </c>
      <c r="C82" s="94">
        <v>9</v>
      </c>
      <c r="D82" s="94">
        <v>1724</v>
      </c>
      <c r="E82" s="94">
        <v>308</v>
      </c>
      <c r="F82" s="91">
        <v>313</v>
      </c>
      <c r="G82" s="20" t="s">
        <v>129</v>
      </c>
      <c r="H82" s="20" t="s">
        <v>109</v>
      </c>
      <c r="I82" s="6" t="s">
        <v>103</v>
      </c>
      <c r="J82" s="6" t="s">
        <v>129</v>
      </c>
      <c r="K82" s="6" t="s">
        <v>130</v>
      </c>
      <c r="M82" s="121" t="s">
        <v>131</v>
      </c>
      <c r="N82" s="121" t="s">
        <v>53</v>
      </c>
      <c r="O82" s="31"/>
      <c r="Q82" s="8"/>
      <c r="R82" s="8"/>
    </row>
    <row r="83" spans="1:18" x14ac:dyDescent="0.25">
      <c r="A83" s="87"/>
      <c r="B83" s="98"/>
      <c r="C83" s="95"/>
      <c r="D83" s="95"/>
      <c r="E83" s="95"/>
      <c r="F83" s="92"/>
      <c r="J83" t="s">
        <v>109</v>
      </c>
      <c r="M83" s="121"/>
      <c r="N83" s="121"/>
    </row>
    <row r="84" spans="1:18" x14ac:dyDescent="0.25">
      <c r="A84" s="81"/>
      <c r="B84" s="99"/>
      <c r="C84" s="96"/>
      <c r="D84" s="96"/>
      <c r="E84" s="96"/>
      <c r="F84" s="93"/>
      <c r="J84" t="s">
        <v>136</v>
      </c>
      <c r="L84" t="s">
        <v>137</v>
      </c>
      <c r="M84" s="121"/>
      <c r="N84" s="121"/>
    </row>
    <row r="85" spans="1:18" s="6" customFormat="1" x14ac:dyDescent="0.25">
      <c r="A85" s="80">
        <f>$A$2+20</f>
        <v>21</v>
      </c>
      <c r="B85" s="97">
        <v>20</v>
      </c>
      <c r="C85" s="94">
        <v>9</v>
      </c>
      <c r="D85" s="94">
        <v>1724</v>
      </c>
      <c r="E85" s="94">
        <v>309</v>
      </c>
      <c r="F85" s="91">
        <v>314</v>
      </c>
      <c r="G85" s="20" t="s">
        <v>138</v>
      </c>
      <c r="H85" s="20"/>
      <c r="I85" s="6" t="s">
        <v>27</v>
      </c>
      <c r="J85" s="6" t="s">
        <v>138</v>
      </c>
      <c r="M85" s="121" t="s">
        <v>159</v>
      </c>
      <c r="N85" s="121" t="s">
        <v>9</v>
      </c>
      <c r="O85" s="31"/>
      <c r="P85" s="6" t="s">
        <v>151</v>
      </c>
      <c r="Q85" s="8"/>
      <c r="R85" s="8"/>
    </row>
    <row r="86" spans="1:18" x14ac:dyDescent="0.25">
      <c r="A86" s="87"/>
      <c r="B86" s="98"/>
      <c r="C86" s="95"/>
      <c r="D86" s="95"/>
      <c r="E86" s="95"/>
      <c r="F86" s="92"/>
      <c r="J86" t="s">
        <v>139</v>
      </c>
      <c r="M86" s="121"/>
      <c r="N86" s="121"/>
    </row>
    <row r="87" spans="1:18" x14ac:dyDescent="0.25">
      <c r="A87" s="87"/>
      <c r="B87" s="98"/>
      <c r="C87" s="95"/>
      <c r="D87" s="95"/>
      <c r="E87" s="95"/>
      <c r="F87" s="92"/>
      <c r="J87" t="s">
        <v>140</v>
      </c>
      <c r="K87" t="s">
        <v>141</v>
      </c>
      <c r="M87" s="121"/>
      <c r="N87" s="121"/>
    </row>
    <row r="88" spans="1:18" x14ac:dyDescent="0.25">
      <c r="A88" s="87"/>
      <c r="B88" s="98"/>
      <c r="C88" s="95"/>
      <c r="D88" s="95"/>
      <c r="E88" s="95"/>
      <c r="F88" s="92"/>
      <c r="J88" t="s">
        <v>142</v>
      </c>
      <c r="L88" t="s">
        <v>143</v>
      </c>
      <c r="M88" s="121"/>
      <c r="N88" s="121"/>
    </row>
    <row r="89" spans="1:18" x14ac:dyDescent="0.25">
      <c r="A89" s="87"/>
      <c r="B89" s="98"/>
      <c r="C89" s="95"/>
      <c r="D89" s="95"/>
      <c r="E89" s="95"/>
      <c r="F89" s="92"/>
      <c r="J89" t="s">
        <v>144</v>
      </c>
      <c r="M89" s="121"/>
      <c r="N89" s="121"/>
    </row>
    <row r="90" spans="1:18" x14ac:dyDescent="0.25">
      <c r="A90" s="87"/>
      <c r="B90" s="98"/>
      <c r="C90" s="95"/>
      <c r="D90" s="95"/>
      <c r="E90" s="95"/>
      <c r="F90" s="92"/>
      <c r="J90" t="s">
        <v>145</v>
      </c>
      <c r="K90" t="s">
        <v>146</v>
      </c>
      <c r="M90" s="121"/>
      <c r="N90" s="121"/>
    </row>
    <row r="91" spans="1:18" x14ac:dyDescent="0.25">
      <c r="A91" s="87"/>
      <c r="B91" s="98"/>
      <c r="C91" s="95"/>
      <c r="D91" s="95"/>
      <c r="E91" s="95"/>
      <c r="F91" s="92"/>
      <c r="J91" t="s">
        <v>147</v>
      </c>
      <c r="K91" t="s">
        <v>148</v>
      </c>
      <c r="M91" s="121"/>
      <c r="N91" s="121"/>
    </row>
    <row r="92" spans="1:18" x14ac:dyDescent="0.25">
      <c r="A92" s="87"/>
      <c r="B92" s="98"/>
      <c r="C92" s="95"/>
      <c r="D92" s="95"/>
      <c r="E92" s="95"/>
      <c r="F92" s="92"/>
      <c r="J92" t="s">
        <v>150</v>
      </c>
      <c r="M92" s="121"/>
      <c r="N92" s="121"/>
    </row>
    <row r="93" spans="1:18" x14ac:dyDescent="0.25">
      <c r="A93" s="87"/>
      <c r="B93" s="98"/>
      <c r="C93" s="95"/>
      <c r="D93" s="95"/>
      <c r="E93" s="95"/>
      <c r="F93" s="92"/>
      <c r="J93" t="s">
        <v>152</v>
      </c>
      <c r="L93" t="s">
        <v>153</v>
      </c>
      <c r="M93" s="121"/>
      <c r="N93" s="121"/>
    </row>
    <row r="94" spans="1:18" x14ac:dyDescent="0.25">
      <c r="A94" s="87"/>
      <c r="B94" s="98"/>
      <c r="C94" s="95"/>
      <c r="D94" s="95"/>
      <c r="E94" s="95"/>
      <c r="F94" s="92"/>
      <c r="J94" t="s">
        <v>149</v>
      </c>
      <c r="M94" s="121"/>
      <c r="N94" s="121"/>
    </row>
    <row r="95" spans="1:18" x14ac:dyDescent="0.25">
      <c r="A95" s="87"/>
      <c r="B95" s="98"/>
      <c r="C95" s="95"/>
      <c r="D95" s="95"/>
      <c r="E95" s="95"/>
      <c r="F95" s="92"/>
      <c r="J95" t="s">
        <v>154</v>
      </c>
      <c r="L95" t="s">
        <v>158</v>
      </c>
      <c r="M95" s="121"/>
      <c r="N95" s="121"/>
    </row>
    <row r="96" spans="1:18" x14ac:dyDescent="0.25">
      <c r="A96" s="87"/>
      <c r="B96" s="98"/>
      <c r="C96" s="95"/>
      <c r="D96" s="95"/>
      <c r="E96" s="95"/>
      <c r="F96" s="92"/>
      <c r="J96" t="s">
        <v>155</v>
      </c>
      <c r="M96" s="121"/>
      <c r="N96" s="121"/>
    </row>
    <row r="97" spans="1:24" x14ac:dyDescent="0.25">
      <c r="A97" s="81"/>
      <c r="B97" s="99"/>
      <c r="C97" s="96"/>
      <c r="D97" s="96"/>
      <c r="E97" s="96"/>
      <c r="F97" s="93"/>
      <c r="J97" t="s">
        <v>157</v>
      </c>
      <c r="L97" t="s">
        <v>156</v>
      </c>
      <c r="M97" s="121"/>
      <c r="N97" s="121"/>
    </row>
    <row r="98" spans="1:24" s="6" customFormat="1" x14ac:dyDescent="0.25">
      <c r="A98" s="80">
        <f>$A$2+21</f>
        <v>22</v>
      </c>
      <c r="B98" s="97">
        <v>20</v>
      </c>
      <c r="C98" s="94">
        <v>9</v>
      </c>
      <c r="D98" s="94">
        <v>1724</v>
      </c>
      <c r="E98" s="94">
        <v>310</v>
      </c>
      <c r="F98" s="91">
        <v>315</v>
      </c>
      <c r="G98" s="20" t="s">
        <v>160</v>
      </c>
      <c r="H98" s="20" t="s">
        <v>162</v>
      </c>
      <c r="I98" s="6" t="s">
        <v>103</v>
      </c>
      <c r="J98" s="6" t="s">
        <v>160</v>
      </c>
      <c r="M98" s="121" t="s">
        <v>13</v>
      </c>
      <c r="N98" s="121" t="s">
        <v>53</v>
      </c>
      <c r="O98" s="31"/>
      <c r="P98" s="6" t="s">
        <v>164</v>
      </c>
      <c r="Q98" s="8"/>
      <c r="R98" s="8"/>
    </row>
    <row r="99" spans="1:24" x14ac:dyDescent="0.25">
      <c r="A99" s="87"/>
      <c r="B99" s="98"/>
      <c r="C99" s="95"/>
      <c r="D99" s="95"/>
      <c r="E99" s="95"/>
      <c r="F99" s="92"/>
      <c r="G99" s="18" t="s">
        <v>161</v>
      </c>
      <c r="J99" t="s">
        <v>161</v>
      </c>
      <c r="M99" s="121"/>
      <c r="N99" s="121"/>
    </row>
    <row r="100" spans="1:24" x14ac:dyDescent="0.25">
      <c r="A100" s="87"/>
      <c r="B100" s="98"/>
      <c r="C100" s="95"/>
      <c r="D100" s="95"/>
      <c r="E100" s="95"/>
      <c r="F100" s="92"/>
      <c r="I100" t="s">
        <v>31</v>
      </c>
      <c r="J100" t="s">
        <v>162</v>
      </c>
      <c r="M100" s="121"/>
      <c r="N100" s="121"/>
    </row>
    <row r="101" spans="1:24" x14ac:dyDescent="0.25">
      <c r="A101" s="81"/>
      <c r="B101" s="99"/>
      <c r="C101" s="96"/>
      <c r="D101" s="96"/>
      <c r="E101" s="96"/>
      <c r="F101" s="93"/>
      <c r="J101" t="s">
        <v>163</v>
      </c>
      <c r="M101" s="121"/>
      <c r="N101" s="121"/>
    </row>
    <row r="102" spans="1:24" s="6" customFormat="1" x14ac:dyDescent="0.25">
      <c r="A102" s="80">
        <f>$A$2+22</f>
        <v>23</v>
      </c>
      <c r="B102" s="97">
        <v>20</v>
      </c>
      <c r="C102" s="94">
        <v>9</v>
      </c>
      <c r="D102" s="94">
        <v>1724</v>
      </c>
      <c r="E102" s="94">
        <v>310</v>
      </c>
      <c r="F102" s="91">
        <v>315</v>
      </c>
      <c r="G102" s="20" t="s">
        <v>165</v>
      </c>
      <c r="H102" s="20" t="s">
        <v>162</v>
      </c>
      <c r="J102" s="6" t="s">
        <v>165</v>
      </c>
      <c r="M102" s="121" t="s">
        <v>13</v>
      </c>
      <c r="N102" s="121" t="s">
        <v>53</v>
      </c>
      <c r="O102" s="31"/>
      <c r="Q102" s="8"/>
      <c r="R102" s="8"/>
    </row>
    <row r="103" spans="1:24" x14ac:dyDescent="0.25">
      <c r="A103" s="87"/>
      <c r="B103" s="98"/>
      <c r="C103" s="95"/>
      <c r="D103" s="95"/>
      <c r="E103" s="95"/>
      <c r="F103" s="92"/>
      <c r="G103" s="18" t="s">
        <v>166</v>
      </c>
      <c r="J103" t="s">
        <v>166</v>
      </c>
      <c r="M103" s="121"/>
      <c r="N103" s="121"/>
    </row>
    <row r="104" spans="1:24" x14ac:dyDescent="0.25">
      <c r="A104" s="81"/>
      <c r="B104" s="99"/>
      <c r="C104" s="96"/>
      <c r="D104" s="96"/>
      <c r="E104" s="96"/>
      <c r="F104" s="93"/>
      <c r="I104" t="s">
        <v>31</v>
      </c>
      <c r="J104" t="s">
        <v>162</v>
      </c>
      <c r="M104" s="121"/>
      <c r="N104" s="121"/>
    </row>
    <row r="105" spans="1:24" s="6" customFormat="1" x14ac:dyDescent="0.25">
      <c r="A105" s="25">
        <f>$A$2+23</f>
        <v>24</v>
      </c>
      <c r="B105" s="4">
        <v>20</v>
      </c>
      <c r="C105" s="4">
        <v>9</v>
      </c>
      <c r="D105" s="4">
        <v>1724</v>
      </c>
      <c r="E105" s="4">
        <v>310</v>
      </c>
      <c r="F105" s="3">
        <v>315</v>
      </c>
      <c r="G105" s="20"/>
      <c r="H105" s="20"/>
      <c r="J105" s="6" t="s">
        <v>162</v>
      </c>
      <c r="M105" s="15" t="s">
        <v>13</v>
      </c>
      <c r="N105" s="15" t="s">
        <v>84</v>
      </c>
      <c r="O105" s="31"/>
      <c r="P105" s="6" t="s">
        <v>167</v>
      </c>
      <c r="Q105" s="8"/>
      <c r="R105" s="8"/>
    </row>
    <row r="106" spans="1:24" s="7" customFormat="1" x14ac:dyDescent="0.25">
      <c r="A106" s="80">
        <f>$A$2+24</f>
        <v>25</v>
      </c>
      <c r="B106" s="97">
        <v>22</v>
      </c>
      <c r="C106" s="94">
        <v>9</v>
      </c>
      <c r="D106" s="94">
        <v>1724</v>
      </c>
      <c r="E106" s="94">
        <v>311</v>
      </c>
      <c r="F106" s="91">
        <v>316</v>
      </c>
      <c r="G106" s="23" t="s">
        <v>168</v>
      </c>
      <c r="H106" s="23" t="s">
        <v>169</v>
      </c>
      <c r="I106" s="6" t="s">
        <v>27</v>
      </c>
      <c r="J106" s="9" t="s">
        <v>168</v>
      </c>
      <c r="K106" s="9"/>
      <c r="L106" s="9"/>
      <c r="M106" s="122" t="s">
        <v>108</v>
      </c>
      <c r="N106" s="122" t="s">
        <v>53</v>
      </c>
      <c r="O106" s="33"/>
      <c r="P106" s="8"/>
      <c r="R106" s="8"/>
      <c r="S106" s="8"/>
      <c r="T106" s="8"/>
      <c r="U106" s="8"/>
      <c r="V106" s="8"/>
      <c r="W106" s="8"/>
      <c r="X106" s="8"/>
    </row>
    <row r="107" spans="1:24" x14ac:dyDescent="0.25">
      <c r="A107" s="81"/>
      <c r="B107" s="99"/>
      <c r="C107" s="96"/>
      <c r="D107" s="96"/>
      <c r="E107" s="96"/>
      <c r="F107" s="93"/>
      <c r="J107" t="s">
        <v>169</v>
      </c>
      <c r="K107" t="s">
        <v>170</v>
      </c>
      <c r="M107" s="122"/>
      <c r="N107" s="122"/>
    </row>
    <row r="108" spans="1:24" s="6" customFormat="1" x14ac:dyDescent="0.25">
      <c r="A108" s="80">
        <f>$A$2+25</f>
        <v>26</v>
      </c>
      <c r="B108" s="97">
        <v>22</v>
      </c>
      <c r="C108" s="94">
        <v>9</v>
      </c>
      <c r="D108" s="94">
        <v>1724</v>
      </c>
      <c r="E108" s="94">
        <v>311</v>
      </c>
      <c r="F108" s="91">
        <v>316</v>
      </c>
      <c r="G108" s="20" t="s">
        <v>171</v>
      </c>
      <c r="H108" s="20" t="s">
        <v>138</v>
      </c>
      <c r="I108" s="6" t="s">
        <v>27</v>
      </c>
      <c r="J108" s="6" t="s">
        <v>171</v>
      </c>
      <c r="M108" s="121"/>
      <c r="N108" s="121"/>
      <c r="O108" s="31"/>
      <c r="Q108" s="8"/>
      <c r="R108" s="8"/>
    </row>
    <row r="109" spans="1:24" x14ac:dyDescent="0.25">
      <c r="A109" s="81"/>
      <c r="B109" s="99"/>
      <c r="C109" s="96"/>
      <c r="D109" s="96"/>
      <c r="E109" s="96"/>
      <c r="F109" s="93"/>
      <c r="I109" t="s">
        <v>27</v>
      </c>
      <c r="J109" t="s">
        <v>138</v>
      </c>
      <c r="M109" s="121"/>
      <c r="N109" s="121"/>
    </row>
    <row r="110" spans="1:24" s="6" customFormat="1" x14ac:dyDescent="0.25">
      <c r="A110" s="80">
        <f>$A$2+26</f>
        <v>27</v>
      </c>
      <c r="B110" s="97">
        <v>23</v>
      </c>
      <c r="C110" s="94">
        <v>9</v>
      </c>
      <c r="D110" s="94">
        <v>1724</v>
      </c>
      <c r="E110" s="94">
        <v>311</v>
      </c>
      <c r="F110" s="91">
        <v>316</v>
      </c>
      <c r="G110" s="20"/>
      <c r="H110" s="20"/>
      <c r="J110" s="6" t="s">
        <v>173</v>
      </c>
      <c r="K110" s="6" t="s">
        <v>174</v>
      </c>
      <c r="M110" s="121"/>
      <c r="N110" s="121" t="s">
        <v>172</v>
      </c>
      <c r="O110" s="31"/>
      <c r="P110" s="6" t="s">
        <v>176</v>
      </c>
      <c r="Q110" s="8"/>
      <c r="R110" s="8"/>
    </row>
    <row r="111" spans="1:24" x14ac:dyDescent="0.25">
      <c r="A111" s="81"/>
      <c r="B111" s="99"/>
      <c r="C111" s="96"/>
      <c r="D111" s="96"/>
      <c r="E111" s="96"/>
      <c r="F111" s="93"/>
      <c r="J111" t="s">
        <v>175</v>
      </c>
      <c r="M111" s="121"/>
      <c r="N111" s="121"/>
    </row>
    <row r="112" spans="1:24" s="6" customFormat="1" x14ac:dyDescent="0.25">
      <c r="A112" s="80">
        <f>$A$2+27</f>
        <v>28</v>
      </c>
      <c r="B112" s="97">
        <v>26</v>
      </c>
      <c r="C112" s="94">
        <v>9</v>
      </c>
      <c r="D112" s="94">
        <v>1724</v>
      </c>
      <c r="E112" s="94">
        <v>312</v>
      </c>
      <c r="F112" s="91">
        <v>317</v>
      </c>
      <c r="G112" s="20" t="s">
        <v>178</v>
      </c>
      <c r="H112" s="20" t="s">
        <v>179</v>
      </c>
      <c r="I112" s="6" t="s">
        <v>27</v>
      </c>
      <c r="J112" s="6" t="s">
        <v>178</v>
      </c>
      <c r="M112" s="121" t="s">
        <v>108</v>
      </c>
      <c r="N112" s="121" t="s">
        <v>177</v>
      </c>
      <c r="O112" s="31"/>
      <c r="Q112" s="8"/>
      <c r="R112" s="8"/>
    </row>
    <row r="113" spans="1:18" x14ac:dyDescent="0.25">
      <c r="A113" s="87"/>
      <c r="B113" s="98"/>
      <c r="C113" s="95"/>
      <c r="D113" s="95"/>
      <c r="E113" s="95"/>
      <c r="F113" s="92"/>
      <c r="J113" t="s">
        <v>181</v>
      </c>
      <c r="M113" s="121"/>
      <c r="N113" s="121"/>
    </row>
    <row r="114" spans="1:18" x14ac:dyDescent="0.25">
      <c r="A114" s="87"/>
      <c r="B114" s="98"/>
      <c r="C114" s="95"/>
      <c r="D114" s="95"/>
      <c r="E114" s="95"/>
      <c r="F114" s="92"/>
      <c r="I114" t="s">
        <v>27</v>
      </c>
      <c r="J114" t="s">
        <v>179</v>
      </c>
      <c r="M114" s="121"/>
      <c r="N114" s="121"/>
    </row>
    <row r="115" spans="1:18" x14ac:dyDescent="0.25">
      <c r="A115" s="81"/>
      <c r="B115" s="99"/>
      <c r="C115" s="96"/>
      <c r="D115" s="96"/>
      <c r="E115" s="96"/>
      <c r="F115" s="93"/>
      <c r="J115" t="s">
        <v>180</v>
      </c>
      <c r="M115" s="121"/>
      <c r="N115" s="121"/>
    </row>
    <row r="116" spans="1:18" s="6" customFormat="1" x14ac:dyDescent="0.25">
      <c r="A116" s="80">
        <f>$A$2+28</f>
        <v>29</v>
      </c>
      <c r="B116" s="97">
        <v>4</v>
      </c>
      <c r="C116" s="94">
        <v>10</v>
      </c>
      <c r="D116" s="94">
        <v>1724</v>
      </c>
      <c r="E116" s="94">
        <v>312</v>
      </c>
      <c r="F116" s="91">
        <v>317</v>
      </c>
      <c r="G116" s="20"/>
      <c r="H116" s="20"/>
      <c r="J116" s="6" t="s">
        <v>184</v>
      </c>
      <c r="M116" s="121" t="s">
        <v>183</v>
      </c>
      <c r="N116" s="121" t="s">
        <v>182</v>
      </c>
      <c r="O116" s="31"/>
      <c r="Q116" s="8"/>
      <c r="R116" s="8"/>
    </row>
    <row r="117" spans="1:18" x14ac:dyDescent="0.25">
      <c r="A117" s="87"/>
      <c r="B117" s="98"/>
      <c r="C117" s="95"/>
      <c r="D117" s="95"/>
      <c r="E117" s="95"/>
      <c r="F117" s="92"/>
      <c r="J117" t="s">
        <v>185</v>
      </c>
      <c r="M117" s="121"/>
      <c r="N117" s="121"/>
    </row>
    <row r="118" spans="1:18" x14ac:dyDescent="0.25">
      <c r="A118" s="81"/>
      <c r="B118" s="99"/>
      <c r="C118" s="96"/>
      <c r="D118" s="96"/>
      <c r="E118" s="96"/>
      <c r="F118" s="93"/>
      <c r="I118" t="s">
        <v>103</v>
      </c>
      <c r="J118" t="s">
        <v>186</v>
      </c>
      <c r="L118" t="s">
        <v>187</v>
      </c>
      <c r="M118" s="121"/>
      <c r="N118" s="121"/>
    </row>
    <row r="119" spans="1:18" s="6" customFormat="1" x14ac:dyDescent="0.25">
      <c r="A119" s="80">
        <f>$A$2+29</f>
        <v>30</v>
      </c>
      <c r="B119" s="97">
        <v>6</v>
      </c>
      <c r="C119" s="94">
        <v>10</v>
      </c>
      <c r="D119" s="94">
        <v>1724</v>
      </c>
      <c r="E119" s="94">
        <v>312</v>
      </c>
      <c r="F119" s="91">
        <v>317</v>
      </c>
      <c r="G119" s="20" t="s">
        <v>188</v>
      </c>
      <c r="H119" s="20" t="s">
        <v>190</v>
      </c>
      <c r="I119" s="6" t="s">
        <v>103</v>
      </c>
      <c r="J119" s="6" t="s">
        <v>188</v>
      </c>
      <c r="M119" s="121" t="s">
        <v>191</v>
      </c>
      <c r="N119" s="121" t="s">
        <v>53</v>
      </c>
      <c r="O119" s="31"/>
      <c r="Q119" s="8"/>
      <c r="R119" s="8"/>
    </row>
    <row r="120" spans="1:18" x14ac:dyDescent="0.25">
      <c r="A120" s="87"/>
      <c r="B120" s="98"/>
      <c r="C120" s="95"/>
      <c r="D120" s="95"/>
      <c r="E120" s="95"/>
      <c r="F120" s="92"/>
      <c r="G120" s="18" t="s">
        <v>189</v>
      </c>
      <c r="J120" t="s">
        <v>189</v>
      </c>
      <c r="M120" s="121"/>
      <c r="N120" s="121"/>
    </row>
    <row r="121" spans="1:18" x14ac:dyDescent="0.25">
      <c r="A121" s="81"/>
      <c r="B121" s="99"/>
      <c r="C121" s="96"/>
      <c r="D121" s="96"/>
      <c r="E121" s="96"/>
      <c r="F121" s="93"/>
      <c r="I121" t="s">
        <v>27</v>
      </c>
      <c r="J121" t="s">
        <v>190</v>
      </c>
      <c r="M121" s="121"/>
      <c r="N121" s="121"/>
    </row>
    <row r="122" spans="1:18" s="6" customFormat="1" x14ac:dyDescent="0.25">
      <c r="A122" s="80">
        <f>$A$2+30</f>
        <v>31</v>
      </c>
      <c r="B122" s="97">
        <v>6</v>
      </c>
      <c r="C122" s="94">
        <v>10</v>
      </c>
      <c r="D122" s="94">
        <v>1724</v>
      </c>
      <c r="E122" s="94">
        <v>313</v>
      </c>
      <c r="F122" s="91">
        <v>318</v>
      </c>
      <c r="G122" s="20"/>
      <c r="H122" s="20"/>
      <c r="I122" s="6" t="s">
        <v>339</v>
      </c>
      <c r="J122" s="6" t="s">
        <v>192</v>
      </c>
      <c r="K122" s="6" t="s">
        <v>193</v>
      </c>
      <c r="M122" s="121"/>
      <c r="N122" s="121" t="s">
        <v>9</v>
      </c>
      <c r="O122" s="31"/>
      <c r="Q122" s="8"/>
      <c r="R122" s="8"/>
    </row>
    <row r="123" spans="1:18" x14ac:dyDescent="0.25">
      <c r="A123" s="87"/>
      <c r="B123" s="98"/>
      <c r="C123" s="95"/>
      <c r="D123" s="95"/>
      <c r="E123" s="95"/>
      <c r="F123" s="92"/>
      <c r="I123" t="s">
        <v>27</v>
      </c>
      <c r="J123" t="s">
        <v>194</v>
      </c>
      <c r="L123" t="s">
        <v>195</v>
      </c>
      <c r="M123" s="121"/>
      <c r="N123" s="121"/>
    </row>
    <row r="124" spans="1:18" x14ac:dyDescent="0.25">
      <c r="A124" s="81"/>
      <c r="B124" s="99"/>
      <c r="C124" s="96"/>
      <c r="D124" s="96"/>
      <c r="E124" s="96"/>
      <c r="F124" s="93"/>
      <c r="J124" t="s">
        <v>196</v>
      </c>
      <c r="M124" s="121"/>
      <c r="N124" s="121"/>
    </row>
    <row r="125" spans="1:18" s="6" customFormat="1" x14ac:dyDescent="0.25">
      <c r="A125" s="80">
        <f>$A$2+31</f>
        <v>32</v>
      </c>
      <c r="B125" s="97">
        <v>11</v>
      </c>
      <c r="C125" s="94">
        <v>10</v>
      </c>
      <c r="D125" s="94">
        <v>1724</v>
      </c>
      <c r="E125" s="94">
        <v>313</v>
      </c>
      <c r="F125" s="91">
        <v>318</v>
      </c>
      <c r="G125" s="20" t="s">
        <v>197</v>
      </c>
      <c r="H125" s="20" t="s">
        <v>199</v>
      </c>
      <c r="J125" s="6" t="s">
        <v>197</v>
      </c>
      <c r="L125" s="6" t="s">
        <v>201</v>
      </c>
      <c r="M125" s="121" t="s">
        <v>159</v>
      </c>
      <c r="N125" s="121" t="s">
        <v>9</v>
      </c>
      <c r="O125" s="31"/>
      <c r="Q125" s="8"/>
      <c r="R125" s="8"/>
    </row>
    <row r="126" spans="1:18" x14ac:dyDescent="0.25">
      <c r="A126" s="87"/>
      <c r="B126" s="98"/>
      <c r="C126" s="95"/>
      <c r="D126" s="95"/>
      <c r="E126" s="95"/>
      <c r="F126" s="92"/>
      <c r="I126" t="s">
        <v>27</v>
      </c>
      <c r="J126" t="s">
        <v>171</v>
      </c>
      <c r="M126" s="121"/>
      <c r="N126" s="121"/>
    </row>
    <row r="127" spans="1:18" x14ac:dyDescent="0.25">
      <c r="A127" s="87"/>
      <c r="B127" s="98"/>
      <c r="C127" s="95"/>
      <c r="D127" s="95"/>
      <c r="E127" s="95"/>
      <c r="F127" s="92"/>
      <c r="J127" t="s">
        <v>199</v>
      </c>
      <c r="M127" s="121"/>
      <c r="N127" s="121"/>
      <c r="P127" t="s">
        <v>203</v>
      </c>
    </row>
    <row r="128" spans="1:18" x14ac:dyDescent="0.25">
      <c r="A128" s="87"/>
      <c r="B128" s="98"/>
      <c r="C128" s="95"/>
      <c r="D128" s="95"/>
      <c r="E128" s="95"/>
      <c r="F128" s="92"/>
      <c r="J128" t="s">
        <v>198</v>
      </c>
      <c r="M128" s="121"/>
      <c r="N128" s="121"/>
    </row>
    <row r="129" spans="1:18" x14ac:dyDescent="0.25">
      <c r="A129" s="87"/>
      <c r="B129" s="98"/>
      <c r="C129" s="95"/>
      <c r="D129" s="95"/>
      <c r="E129" s="95"/>
      <c r="F129" s="92"/>
      <c r="I129" t="s">
        <v>339</v>
      </c>
      <c r="J129" t="s">
        <v>200</v>
      </c>
      <c r="M129" s="121"/>
      <c r="N129" s="121"/>
    </row>
    <row r="130" spans="1:18" x14ac:dyDescent="0.25">
      <c r="A130" s="81"/>
      <c r="B130" s="99"/>
      <c r="C130" s="96"/>
      <c r="D130" s="96"/>
      <c r="E130" s="96"/>
      <c r="F130" s="93"/>
      <c r="J130" t="s">
        <v>202</v>
      </c>
      <c r="M130" s="121"/>
      <c r="N130" s="121"/>
    </row>
    <row r="131" spans="1:18" s="6" customFormat="1" x14ac:dyDescent="0.25">
      <c r="A131" s="80">
        <f>$A$2+32</f>
        <v>33</v>
      </c>
      <c r="B131" s="97">
        <v>18</v>
      </c>
      <c r="C131" s="94">
        <v>10</v>
      </c>
      <c r="D131" s="94">
        <v>1724</v>
      </c>
      <c r="E131" s="94">
        <v>313</v>
      </c>
      <c r="F131" s="91">
        <v>318</v>
      </c>
      <c r="G131" s="20" t="s">
        <v>204</v>
      </c>
      <c r="H131" s="20" t="s">
        <v>205</v>
      </c>
      <c r="I131" s="6" t="s">
        <v>27</v>
      </c>
      <c r="J131" s="6" t="s">
        <v>204</v>
      </c>
      <c r="M131" s="121" t="s">
        <v>206</v>
      </c>
      <c r="N131" s="121" t="s">
        <v>53</v>
      </c>
      <c r="O131" s="31"/>
      <c r="Q131" s="8"/>
      <c r="R131" s="8"/>
    </row>
    <row r="132" spans="1:18" x14ac:dyDescent="0.25">
      <c r="A132" s="81"/>
      <c r="B132" s="99"/>
      <c r="C132" s="96"/>
      <c r="D132" s="96"/>
      <c r="E132" s="96"/>
      <c r="F132" s="93"/>
      <c r="J132" t="s">
        <v>205</v>
      </c>
      <c r="M132" s="121"/>
      <c r="N132" s="121"/>
    </row>
    <row r="133" spans="1:18" s="6" customFormat="1" x14ac:dyDescent="0.25">
      <c r="A133" s="80">
        <f>$A$2+33</f>
        <v>34</v>
      </c>
      <c r="B133" s="97">
        <v>18</v>
      </c>
      <c r="C133" s="94">
        <v>10</v>
      </c>
      <c r="D133" s="94">
        <v>1724</v>
      </c>
      <c r="E133" s="94">
        <v>314</v>
      </c>
      <c r="F133" s="91">
        <v>319</v>
      </c>
      <c r="G133" s="20" t="s">
        <v>216</v>
      </c>
      <c r="H133" s="20"/>
      <c r="I133" s="6" t="s">
        <v>27</v>
      </c>
      <c r="J133" s="6" t="s">
        <v>207</v>
      </c>
      <c r="M133" s="121" t="s">
        <v>13</v>
      </c>
      <c r="N133" s="121" t="s">
        <v>9</v>
      </c>
      <c r="O133" s="31"/>
      <c r="Q133" s="8"/>
      <c r="R133" s="8"/>
    </row>
    <row r="134" spans="1:18" x14ac:dyDescent="0.25">
      <c r="A134" s="87"/>
      <c r="B134" s="98"/>
      <c r="C134" s="95"/>
      <c r="D134" s="95"/>
      <c r="E134" s="95"/>
      <c r="F134" s="92"/>
      <c r="I134" t="s">
        <v>27</v>
      </c>
      <c r="J134" t="s">
        <v>208</v>
      </c>
      <c r="M134" s="121"/>
      <c r="N134" s="121"/>
    </row>
    <row r="135" spans="1:18" x14ac:dyDescent="0.25">
      <c r="A135" s="81"/>
      <c r="B135" s="99"/>
      <c r="C135" s="96"/>
      <c r="D135" s="96"/>
      <c r="E135" s="96"/>
      <c r="F135" s="93"/>
      <c r="J135" t="s">
        <v>209</v>
      </c>
      <c r="M135" s="121"/>
      <c r="N135" s="121"/>
      <c r="P135" t="s">
        <v>210</v>
      </c>
    </row>
    <row r="136" spans="1:18" s="6" customFormat="1" x14ac:dyDescent="0.25">
      <c r="A136" s="80">
        <f>$A$2+34</f>
        <v>35</v>
      </c>
      <c r="B136" s="97">
        <v>18</v>
      </c>
      <c r="C136" s="94">
        <v>10</v>
      </c>
      <c r="D136" s="94">
        <v>1724</v>
      </c>
      <c r="E136" s="94">
        <v>314</v>
      </c>
      <c r="F136" s="91">
        <v>319</v>
      </c>
      <c r="G136" s="20" t="s">
        <v>211</v>
      </c>
      <c r="H136" s="20"/>
      <c r="I136" s="6" t="s">
        <v>27</v>
      </c>
      <c r="J136" s="6" t="s">
        <v>211</v>
      </c>
      <c r="M136" s="121" t="s">
        <v>215</v>
      </c>
      <c r="N136" s="121" t="s">
        <v>9</v>
      </c>
      <c r="O136" s="31"/>
      <c r="Q136" s="8"/>
      <c r="R136" s="8"/>
    </row>
    <row r="137" spans="1:18" x14ac:dyDescent="0.25">
      <c r="A137" s="87"/>
      <c r="B137" s="98"/>
      <c r="C137" s="95"/>
      <c r="D137" s="95"/>
      <c r="E137" s="95"/>
      <c r="F137" s="92"/>
      <c r="I137" t="s">
        <v>29</v>
      </c>
      <c r="J137" t="s">
        <v>212</v>
      </c>
      <c r="M137" s="121"/>
      <c r="N137" s="121"/>
    </row>
    <row r="138" spans="1:18" x14ac:dyDescent="0.25">
      <c r="A138" s="87"/>
      <c r="B138" s="98"/>
      <c r="C138" s="95"/>
      <c r="D138" s="95"/>
      <c r="E138" s="95"/>
      <c r="F138" s="92"/>
      <c r="J138" t="s">
        <v>213</v>
      </c>
      <c r="M138" s="121"/>
      <c r="N138" s="121"/>
    </row>
    <row r="139" spans="1:18" x14ac:dyDescent="0.25">
      <c r="A139" s="81"/>
      <c r="B139" s="99"/>
      <c r="C139" s="96"/>
      <c r="D139" s="96"/>
      <c r="E139" s="96"/>
      <c r="F139" s="93"/>
      <c r="J139" t="s">
        <v>214</v>
      </c>
      <c r="M139" s="121"/>
      <c r="N139" s="121"/>
    </row>
    <row r="140" spans="1:18" s="6" customFormat="1" x14ac:dyDescent="0.25">
      <c r="A140" s="80">
        <f>$A$2+35</f>
        <v>36</v>
      </c>
      <c r="B140" s="97">
        <v>18</v>
      </c>
      <c r="C140" s="94">
        <v>10</v>
      </c>
      <c r="D140" s="94">
        <v>1724</v>
      </c>
      <c r="E140" s="94">
        <v>314</v>
      </c>
      <c r="F140" s="91">
        <v>319</v>
      </c>
      <c r="G140" s="20" t="s">
        <v>216</v>
      </c>
      <c r="H140" s="20" t="s">
        <v>211</v>
      </c>
      <c r="J140" s="6" t="s">
        <v>216</v>
      </c>
      <c r="M140" s="121" t="s">
        <v>218</v>
      </c>
      <c r="N140" s="121" t="s">
        <v>53</v>
      </c>
      <c r="O140" s="31"/>
      <c r="Q140" s="8"/>
      <c r="R140" s="8"/>
    </row>
    <row r="141" spans="1:18" x14ac:dyDescent="0.25">
      <c r="A141" s="81"/>
      <c r="B141" s="99"/>
      <c r="C141" s="96"/>
      <c r="D141" s="96"/>
      <c r="E141" s="96"/>
      <c r="F141" s="93"/>
      <c r="J141" t="s">
        <v>217</v>
      </c>
      <c r="M141" s="121"/>
      <c r="N141" s="121"/>
    </row>
    <row r="142" spans="1:18" s="6" customFormat="1" x14ac:dyDescent="0.25">
      <c r="A142" s="80">
        <f>$A$2+36</f>
        <v>37</v>
      </c>
      <c r="B142" s="97">
        <v>18</v>
      </c>
      <c r="C142" s="94">
        <v>10</v>
      </c>
      <c r="D142" s="94">
        <v>1724</v>
      </c>
      <c r="E142" s="94">
        <v>315</v>
      </c>
      <c r="F142" s="91">
        <v>320</v>
      </c>
      <c r="G142" s="20"/>
      <c r="H142" s="20"/>
      <c r="I142" s="6" t="s">
        <v>27</v>
      </c>
      <c r="J142" s="6" t="s">
        <v>219</v>
      </c>
      <c r="K142" s="6" t="s">
        <v>221</v>
      </c>
      <c r="M142" s="121" t="s">
        <v>222</v>
      </c>
      <c r="N142" s="121" t="s">
        <v>9</v>
      </c>
      <c r="O142" s="31"/>
      <c r="P142" s="6" t="s">
        <v>224</v>
      </c>
      <c r="Q142" s="8"/>
      <c r="R142" s="8"/>
    </row>
    <row r="143" spans="1:18" x14ac:dyDescent="0.25">
      <c r="A143" s="87"/>
      <c r="B143" s="98"/>
      <c r="C143" s="95"/>
      <c r="D143" s="95"/>
      <c r="E143" s="95"/>
      <c r="F143" s="92"/>
      <c r="I143" t="s">
        <v>27</v>
      </c>
      <c r="J143" t="s">
        <v>220</v>
      </c>
      <c r="M143" s="121"/>
      <c r="N143" s="121"/>
    </row>
    <row r="144" spans="1:18" x14ac:dyDescent="0.25">
      <c r="A144" s="81"/>
      <c r="B144" s="99"/>
      <c r="C144" s="96"/>
      <c r="D144" s="96"/>
      <c r="E144" s="96"/>
      <c r="F144" s="93"/>
      <c r="I144" t="s">
        <v>339</v>
      </c>
      <c r="J144" t="s">
        <v>223</v>
      </c>
      <c r="M144" s="121"/>
      <c r="N144" s="121"/>
    </row>
    <row r="145" spans="1:18" s="6" customFormat="1" x14ac:dyDescent="0.25">
      <c r="A145" s="80">
        <f>$A$2+37</f>
        <v>38</v>
      </c>
      <c r="B145" s="97">
        <v>18</v>
      </c>
      <c r="C145" s="94">
        <v>10</v>
      </c>
      <c r="D145" s="94">
        <v>1724</v>
      </c>
      <c r="E145" s="94">
        <v>315</v>
      </c>
      <c r="F145" s="91">
        <v>320</v>
      </c>
      <c r="G145" s="20"/>
      <c r="H145" s="20"/>
      <c r="I145" s="6" t="s">
        <v>339</v>
      </c>
      <c r="J145" s="6" t="s">
        <v>223</v>
      </c>
      <c r="M145" s="121" t="s">
        <v>226</v>
      </c>
      <c r="N145" s="121" t="s">
        <v>84</v>
      </c>
      <c r="O145" s="31"/>
      <c r="Q145" s="8"/>
      <c r="R145" s="8"/>
    </row>
    <row r="146" spans="1:18" x14ac:dyDescent="0.25">
      <c r="A146" s="81"/>
      <c r="B146" s="99"/>
      <c r="C146" s="96"/>
      <c r="D146" s="96"/>
      <c r="E146" s="96"/>
      <c r="F146" s="93"/>
      <c r="I146" t="s">
        <v>27</v>
      </c>
      <c r="J146" t="s">
        <v>225</v>
      </c>
      <c r="M146" s="121"/>
      <c r="N146" s="121"/>
    </row>
    <row r="147" spans="1:18" s="6" customFormat="1" x14ac:dyDescent="0.25">
      <c r="A147" s="80">
        <f>$A$2+38</f>
        <v>39</v>
      </c>
      <c r="B147" s="97">
        <v>18</v>
      </c>
      <c r="C147" s="94">
        <v>10</v>
      </c>
      <c r="D147" s="94">
        <v>1724</v>
      </c>
      <c r="E147" s="94">
        <v>315</v>
      </c>
      <c r="F147" s="91">
        <v>320</v>
      </c>
      <c r="G147" s="20" t="s">
        <v>227</v>
      </c>
      <c r="H147" s="20"/>
      <c r="J147" s="6" t="s">
        <v>227</v>
      </c>
      <c r="M147" s="123"/>
      <c r="N147" s="123"/>
      <c r="O147" s="31"/>
      <c r="Q147" s="8"/>
      <c r="R147" s="8"/>
    </row>
    <row r="148" spans="1:18" x14ac:dyDescent="0.25">
      <c r="A148" s="81"/>
      <c r="B148" s="99"/>
      <c r="C148" s="96"/>
      <c r="D148" s="96"/>
      <c r="E148" s="96"/>
      <c r="F148" s="93"/>
      <c r="J148" t="s">
        <v>223</v>
      </c>
      <c r="M148" s="123"/>
      <c r="N148" s="123"/>
    </row>
    <row r="149" spans="1:18" s="6" customFormat="1" x14ac:dyDescent="0.25">
      <c r="A149" s="80">
        <f>$A$2+39</f>
        <v>40</v>
      </c>
      <c r="B149" s="97">
        <v>18</v>
      </c>
      <c r="C149" s="94">
        <v>10</v>
      </c>
      <c r="D149" s="94">
        <v>1724</v>
      </c>
      <c r="E149" s="94">
        <v>315</v>
      </c>
      <c r="F149" s="91">
        <v>320</v>
      </c>
      <c r="G149" s="20" t="s">
        <v>228</v>
      </c>
      <c r="H149" s="20" t="s">
        <v>199</v>
      </c>
      <c r="J149" s="6" t="s">
        <v>228</v>
      </c>
      <c r="M149" s="121" t="s">
        <v>108</v>
      </c>
      <c r="N149" s="121" t="s">
        <v>53</v>
      </c>
      <c r="O149" s="31"/>
      <c r="P149" s="6" t="s">
        <v>230</v>
      </c>
      <c r="Q149" s="8"/>
      <c r="R149" s="8"/>
    </row>
    <row r="150" spans="1:18" x14ac:dyDescent="0.25">
      <c r="A150" s="87"/>
      <c r="B150" s="98"/>
      <c r="C150" s="95"/>
      <c r="D150" s="95"/>
      <c r="E150" s="95"/>
      <c r="F150" s="92"/>
      <c r="G150" s="18" t="s">
        <v>229</v>
      </c>
      <c r="J150" t="s">
        <v>229</v>
      </c>
      <c r="M150" s="121"/>
      <c r="N150" s="121"/>
    </row>
    <row r="151" spans="1:18" x14ac:dyDescent="0.25">
      <c r="A151" s="81"/>
      <c r="B151" s="99"/>
      <c r="C151" s="96"/>
      <c r="D151" s="96"/>
      <c r="E151" s="96"/>
      <c r="F151" s="93"/>
      <c r="J151" t="s">
        <v>199</v>
      </c>
      <c r="M151" s="121"/>
      <c r="N151" s="121"/>
    </row>
    <row r="152" spans="1:18" s="6" customFormat="1" x14ac:dyDescent="0.25">
      <c r="A152" s="80">
        <f>$A$2+40</f>
        <v>41</v>
      </c>
      <c r="B152" s="97">
        <v>18</v>
      </c>
      <c r="C152" s="94">
        <v>10</v>
      </c>
      <c r="D152" s="94">
        <v>1724</v>
      </c>
      <c r="E152" s="94">
        <v>316</v>
      </c>
      <c r="F152" s="91">
        <v>321</v>
      </c>
      <c r="G152" s="20" t="s">
        <v>160</v>
      </c>
      <c r="H152" s="20" t="s">
        <v>154</v>
      </c>
      <c r="J152" s="6" t="s">
        <v>160</v>
      </c>
      <c r="M152" s="121" t="s">
        <v>232</v>
      </c>
      <c r="N152" s="121" t="s">
        <v>53</v>
      </c>
      <c r="O152" s="31"/>
      <c r="P152" s="6" t="s">
        <v>235</v>
      </c>
      <c r="Q152" s="8"/>
      <c r="R152" s="8"/>
    </row>
    <row r="153" spans="1:18" x14ac:dyDescent="0.25">
      <c r="A153" s="87"/>
      <c r="B153" s="98"/>
      <c r="C153" s="95"/>
      <c r="D153" s="95"/>
      <c r="E153" s="95"/>
      <c r="F153" s="92"/>
      <c r="G153" s="18" t="s">
        <v>189</v>
      </c>
      <c r="J153" t="s">
        <v>189</v>
      </c>
      <c r="M153" s="121"/>
      <c r="N153" s="121"/>
    </row>
    <row r="154" spans="1:18" x14ac:dyDescent="0.25">
      <c r="A154" s="87"/>
      <c r="B154" s="98"/>
      <c r="C154" s="95"/>
      <c r="D154" s="95"/>
      <c r="E154" s="95"/>
      <c r="F154" s="92"/>
      <c r="J154" t="s">
        <v>234</v>
      </c>
      <c r="M154" s="121"/>
      <c r="N154" s="121"/>
    </row>
    <row r="155" spans="1:18" x14ac:dyDescent="0.25">
      <c r="A155" s="87"/>
      <c r="B155" s="98"/>
      <c r="C155" s="95"/>
      <c r="D155" s="95"/>
      <c r="E155" s="95"/>
      <c r="F155" s="92"/>
      <c r="J155" t="s">
        <v>154</v>
      </c>
      <c r="K155" t="s">
        <v>231</v>
      </c>
      <c r="M155" s="121"/>
      <c r="N155" s="121"/>
    </row>
    <row r="156" spans="1:18" x14ac:dyDescent="0.25">
      <c r="A156" s="81"/>
      <c r="B156" s="99"/>
      <c r="C156" s="96"/>
      <c r="D156" s="96"/>
      <c r="E156" s="96"/>
      <c r="F156" s="93"/>
      <c r="J156" t="s">
        <v>144</v>
      </c>
      <c r="K156" t="s">
        <v>233</v>
      </c>
      <c r="M156" s="121"/>
      <c r="N156" s="121"/>
    </row>
    <row r="157" spans="1:18" s="6" customFormat="1" x14ac:dyDescent="0.25">
      <c r="A157" s="80">
        <f>$A$2+41</f>
        <v>42</v>
      </c>
      <c r="B157" s="97">
        <v>20</v>
      </c>
      <c r="C157" s="94">
        <v>10</v>
      </c>
      <c r="D157" s="94">
        <v>1724</v>
      </c>
      <c r="E157" s="94">
        <v>316</v>
      </c>
      <c r="F157" s="91">
        <v>321</v>
      </c>
      <c r="G157" s="20" t="s">
        <v>236</v>
      </c>
      <c r="H157" s="20" t="s">
        <v>237</v>
      </c>
      <c r="I157" s="6" t="s">
        <v>103</v>
      </c>
      <c r="J157" s="6" t="s">
        <v>236</v>
      </c>
      <c r="M157" s="121" t="s">
        <v>238</v>
      </c>
      <c r="N157" s="121" t="s">
        <v>15</v>
      </c>
      <c r="O157" s="31"/>
      <c r="Q157" s="8"/>
      <c r="R157" s="8"/>
    </row>
    <row r="158" spans="1:18" x14ac:dyDescent="0.25">
      <c r="A158" s="87"/>
      <c r="B158" s="98"/>
      <c r="C158" s="95"/>
      <c r="D158" s="95"/>
      <c r="E158" s="95"/>
      <c r="F158" s="92"/>
      <c r="H158" s="18" t="s">
        <v>239</v>
      </c>
      <c r="J158" t="s">
        <v>237</v>
      </c>
      <c r="M158" s="121"/>
      <c r="N158" s="121"/>
    </row>
    <row r="159" spans="1:18" x14ac:dyDescent="0.25">
      <c r="A159" s="81"/>
      <c r="B159" s="99"/>
      <c r="C159" s="96"/>
      <c r="D159" s="96"/>
      <c r="E159" s="96"/>
      <c r="F159" s="93"/>
      <c r="J159" t="s">
        <v>239</v>
      </c>
      <c r="K159" t="s">
        <v>240</v>
      </c>
      <c r="M159" s="121"/>
      <c r="N159" s="121"/>
    </row>
    <row r="160" spans="1:18" s="6" customFormat="1" x14ac:dyDescent="0.25">
      <c r="A160" s="80">
        <f>$A$2+42</f>
        <v>43</v>
      </c>
      <c r="B160" s="97">
        <v>20</v>
      </c>
      <c r="C160" s="94">
        <v>10</v>
      </c>
      <c r="D160" s="94">
        <v>1724</v>
      </c>
      <c r="E160" s="94">
        <v>317</v>
      </c>
      <c r="F160" s="91">
        <v>322</v>
      </c>
      <c r="G160" s="20" t="s">
        <v>223</v>
      </c>
      <c r="H160" s="20"/>
      <c r="I160" s="6" t="s">
        <v>339</v>
      </c>
      <c r="J160" s="6" t="s">
        <v>223</v>
      </c>
      <c r="M160" s="121" t="s">
        <v>244</v>
      </c>
      <c r="N160" s="121" t="s">
        <v>9</v>
      </c>
      <c r="O160" s="31"/>
      <c r="Q160" s="8"/>
      <c r="R160" s="8"/>
    </row>
    <row r="161" spans="1:18" x14ac:dyDescent="0.25">
      <c r="A161" s="87"/>
      <c r="B161" s="98"/>
      <c r="C161" s="95"/>
      <c r="D161" s="95"/>
      <c r="E161" s="95"/>
      <c r="F161" s="92"/>
      <c r="I161" t="s">
        <v>27</v>
      </c>
      <c r="J161" t="s">
        <v>241</v>
      </c>
      <c r="K161" t="s">
        <v>242</v>
      </c>
      <c r="M161" s="121"/>
      <c r="N161" s="121"/>
    </row>
    <row r="162" spans="1:18" x14ac:dyDescent="0.25">
      <c r="A162" s="87"/>
      <c r="B162" s="98"/>
      <c r="C162" s="95"/>
      <c r="D162" s="95"/>
      <c r="E162" s="95"/>
      <c r="F162" s="92"/>
      <c r="J162" t="s">
        <v>243</v>
      </c>
      <c r="M162" s="121"/>
      <c r="N162" s="121"/>
    </row>
    <row r="163" spans="1:18" x14ac:dyDescent="0.25">
      <c r="A163" s="87"/>
      <c r="B163" s="98"/>
      <c r="C163" s="95"/>
      <c r="D163" s="95"/>
      <c r="E163" s="95"/>
      <c r="F163" s="92"/>
      <c r="I163" t="s">
        <v>27</v>
      </c>
      <c r="J163" t="s">
        <v>245</v>
      </c>
      <c r="M163" s="121"/>
      <c r="N163" s="121"/>
    </row>
    <row r="164" spans="1:18" x14ac:dyDescent="0.25">
      <c r="A164" s="87"/>
      <c r="B164" s="98"/>
      <c r="C164" s="95"/>
      <c r="D164" s="95"/>
      <c r="E164" s="95"/>
      <c r="F164" s="92"/>
      <c r="I164" t="s">
        <v>27</v>
      </c>
      <c r="J164" t="s">
        <v>246</v>
      </c>
      <c r="K164" t="s">
        <v>247</v>
      </c>
      <c r="L164" t="s">
        <v>248</v>
      </c>
      <c r="M164" s="121"/>
      <c r="N164" s="121"/>
    </row>
    <row r="165" spans="1:18" x14ac:dyDescent="0.25">
      <c r="A165" s="87"/>
      <c r="B165" s="98"/>
      <c r="C165" s="95"/>
      <c r="D165" s="95"/>
      <c r="E165" s="95"/>
      <c r="F165" s="92"/>
      <c r="J165" t="s">
        <v>249</v>
      </c>
      <c r="M165" s="121"/>
      <c r="N165" s="121"/>
    </row>
    <row r="166" spans="1:18" x14ac:dyDescent="0.25">
      <c r="A166" s="81"/>
      <c r="B166" s="99"/>
      <c r="C166" s="96"/>
      <c r="D166" s="96"/>
      <c r="E166" s="96"/>
      <c r="F166" s="93"/>
      <c r="J166" t="s">
        <v>250</v>
      </c>
      <c r="K166" t="s">
        <v>242</v>
      </c>
      <c r="M166" s="121"/>
      <c r="N166" s="121"/>
    </row>
    <row r="167" spans="1:18" s="6" customFormat="1" x14ac:dyDescent="0.25">
      <c r="A167" s="80">
        <f>$A$2+43</f>
        <v>44</v>
      </c>
      <c r="B167" s="97">
        <v>20</v>
      </c>
      <c r="C167" s="94">
        <v>10</v>
      </c>
      <c r="D167" s="94">
        <v>1724</v>
      </c>
      <c r="E167" s="94">
        <v>318</v>
      </c>
      <c r="F167" s="91">
        <v>323</v>
      </c>
      <c r="G167" s="20" t="s">
        <v>251</v>
      </c>
      <c r="H167" s="20" t="s">
        <v>225</v>
      </c>
      <c r="I167" s="6" t="s">
        <v>339</v>
      </c>
      <c r="J167" s="6" t="s">
        <v>251</v>
      </c>
      <c r="M167" s="121" t="s">
        <v>244</v>
      </c>
      <c r="N167" s="121" t="s">
        <v>53</v>
      </c>
      <c r="O167" s="31"/>
      <c r="Q167" s="8"/>
      <c r="R167" s="8"/>
    </row>
    <row r="168" spans="1:18" x14ac:dyDescent="0.25">
      <c r="A168" s="81"/>
      <c r="B168" s="99"/>
      <c r="C168" s="96"/>
      <c r="D168" s="96"/>
      <c r="E168" s="96"/>
      <c r="F168" s="93"/>
      <c r="J168" t="s">
        <v>225</v>
      </c>
      <c r="M168" s="121"/>
      <c r="N168" s="121"/>
    </row>
    <row r="169" spans="1:18" s="6" customFormat="1" x14ac:dyDescent="0.25">
      <c r="A169" s="80">
        <f>$A$2+44</f>
        <v>45</v>
      </c>
      <c r="B169" s="97">
        <v>25</v>
      </c>
      <c r="C169" s="94">
        <v>10</v>
      </c>
      <c r="D169" s="94">
        <v>1724</v>
      </c>
      <c r="E169" s="94">
        <v>318</v>
      </c>
      <c r="F169" s="91">
        <v>323</v>
      </c>
      <c r="G169" s="20" t="s">
        <v>252</v>
      </c>
      <c r="H169" s="20" t="s">
        <v>179</v>
      </c>
      <c r="I169" s="6" t="s">
        <v>27</v>
      </c>
      <c r="J169" s="6" t="s">
        <v>252</v>
      </c>
      <c r="K169" s="6" t="s">
        <v>253</v>
      </c>
      <c r="M169" s="121" t="s">
        <v>108</v>
      </c>
      <c r="N169" s="121" t="s">
        <v>20</v>
      </c>
      <c r="O169" s="31"/>
      <c r="Q169" s="8"/>
      <c r="R169" s="8"/>
    </row>
    <row r="170" spans="1:18" x14ac:dyDescent="0.25">
      <c r="A170" s="81"/>
      <c r="B170" s="99"/>
      <c r="C170" s="96"/>
      <c r="D170" s="96"/>
      <c r="E170" s="96"/>
      <c r="F170" s="93"/>
      <c r="I170" t="s">
        <v>27</v>
      </c>
      <c r="J170" t="s">
        <v>179</v>
      </c>
      <c r="M170" s="121"/>
      <c r="N170" s="121"/>
    </row>
    <row r="171" spans="1:18" s="6" customFormat="1" x14ac:dyDescent="0.25">
      <c r="A171" s="80">
        <f>$A$2+45</f>
        <v>46</v>
      </c>
      <c r="B171" s="97">
        <v>27</v>
      </c>
      <c r="C171" s="94">
        <v>10</v>
      </c>
      <c r="D171" s="94">
        <v>1724</v>
      </c>
      <c r="E171" s="94">
        <v>319</v>
      </c>
      <c r="F171" s="91">
        <v>324</v>
      </c>
      <c r="G171" s="20" t="s">
        <v>254</v>
      </c>
      <c r="H171" s="20"/>
      <c r="I171" s="6" t="s">
        <v>27</v>
      </c>
      <c r="J171" s="6" t="s">
        <v>254</v>
      </c>
      <c r="M171" s="121"/>
      <c r="N171" s="121" t="s">
        <v>9</v>
      </c>
      <c r="O171" s="31"/>
      <c r="Q171" s="8"/>
      <c r="R171" s="8"/>
    </row>
    <row r="172" spans="1:18" x14ac:dyDescent="0.25">
      <c r="A172" s="87"/>
      <c r="B172" s="98"/>
      <c r="C172" s="95"/>
      <c r="D172" s="95"/>
      <c r="E172" s="95"/>
      <c r="F172" s="92"/>
      <c r="J172" t="s">
        <v>255</v>
      </c>
      <c r="M172" s="121"/>
      <c r="N172" s="121"/>
    </row>
    <row r="173" spans="1:18" x14ac:dyDescent="0.25">
      <c r="A173" s="87"/>
      <c r="B173" s="98"/>
      <c r="C173" s="95"/>
      <c r="D173" s="95"/>
      <c r="E173" s="95"/>
      <c r="F173" s="92"/>
      <c r="J173" t="s">
        <v>258</v>
      </c>
      <c r="L173" t="s">
        <v>257</v>
      </c>
      <c r="M173" s="121"/>
      <c r="N173" s="121"/>
    </row>
    <row r="174" spans="1:18" x14ac:dyDescent="0.25">
      <c r="A174" s="81"/>
      <c r="B174" s="99"/>
      <c r="C174" s="96"/>
      <c r="D174" s="96"/>
      <c r="E174" s="96"/>
      <c r="F174" s="93"/>
      <c r="J174" t="s">
        <v>256</v>
      </c>
      <c r="M174" s="121"/>
      <c r="N174" s="121"/>
    </row>
    <row r="175" spans="1:18" s="6" customFormat="1" x14ac:dyDescent="0.25">
      <c r="A175" s="80">
        <f>$A$2+46</f>
        <v>47</v>
      </c>
      <c r="B175" s="97">
        <v>27</v>
      </c>
      <c r="C175" s="94">
        <v>10</v>
      </c>
      <c r="D175" s="94">
        <v>1724</v>
      </c>
      <c r="E175" s="94">
        <v>319</v>
      </c>
      <c r="F175" s="91">
        <v>324</v>
      </c>
      <c r="G175" s="20" t="s">
        <v>259</v>
      </c>
      <c r="H175" s="20" t="s">
        <v>263</v>
      </c>
      <c r="J175" s="6" t="s">
        <v>259</v>
      </c>
      <c r="M175" s="121" t="s">
        <v>265</v>
      </c>
      <c r="N175" s="121" t="s">
        <v>53</v>
      </c>
      <c r="O175" s="31"/>
      <c r="Q175" s="8"/>
      <c r="R175" s="8"/>
    </row>
    <row r="176" spans="1:18" x14ac:dyDescent="0.25">
      <c r="A176" s="87"/>
      <c r="B176" s="98"/>
      <c r="C176" s="95"/>
      <c r="D176" s="95"/>
      <c r="E176" s="95"/>
      <c r="F176" s="92"/>
      <c r="G176" s="18" t="s">
        <v>260</v>
      </c>
      <c r="H176" s="18" t="s">
        <v>264</v>
      </c>
      <c r="J176" t="s">
        <v>260</v>
      </c>
      <c r="K176" t="s">
        <v>261</v>
      </c>
      <c r="M176" s="121"/>
      <c r="N176" s="121"/>
    </row>
    <row r="177" spans="1:18" x14ac:dyDescent="0.25">
      <c r="A177" s="87"/>
      <c r="B177" s="98"/>
      <c r="C177" s="95"/>
      <c r="D177" s="95"/>
      <c r="E177" s="95"/>
      <c r="F177" s="92"/>
      <c r="G177" s="18" t="s">
        <v>262</v>
      </c>
      <c r="J177" t="s">
        <v>262</v>
      </c>
      <c r="M177" s="121"/>
      <c r="N177" s="121"/>
    </row>
    <row r="178" spans="1:18" x14ac:dyDescent="0.25">
      <c r="A178" s="87"/>
      <c r="B178" s="98"/>
      <c r="C178" s="95"/>
      <c r="D178" s="95"/>
      <c r="E178" s="95"/>
      <c r="F178" s="92"/>
      <c r="G178" s="18" t="s">
        <v>258</v>
      </c>
      <c r="J178" t="s">
        <v>258</v>
      </c>
      <c r="M178" s="121"/>
      <c r="N178" s="121"/>
    </row>
    <row r="179" spans="1:18" x14ac:dyDescent="0.25">
      <c r="A179" s="87"/>
      <c r="B179" s="98"/>
      <c r="C179" s="95"/>
      <c r="D179" s="95"/>
      <c r="E179" s="95"/>
      <c r="F179" s="92"/>
      <c r="J179" t="s">
        <v>263</v>
      </c>
      <c r="M179" s="121"/>
      <c r="N179" s="121"/>
    </row>
    <row r="180" spans="1:18" x14ac:dyDescent="0.25">
      <c r="A180" s="81"/>
      <c r="B180" s="99"/>
      <c r="C180" s="96"/>
      <c r="D180" s="96"/>
      <c r="E180" s="96"/>
      <c r="F180" s="93"/>
      <c r="J180" t="s">
        <v>264</v>
      </c>
      <c r="M180" s="121"/>
      <c r="N180" s="121"/>
    </row>
    <row r="181" spans="1:18" s="6" customFormat="1" x14ac:dyDescent="0.25">
      <c r="A181" s="80">
        <f>$A$2+47</f>
        <v>48</v>
      </c>
      <c r="B181" s="97">
        <v>27</v>
      </c>
      <c r="C181" s="94">
        <v>10</v>
      </c>
      <c r="D181" s="94">
        <v>1724</v>
      </c>
      <c r="E181" s="94">
        <v>320</v>
      </c>
      <c r="F181" s="91">
        <v>325</v>
      </c>
      <c r="G181" s="20"/>
      <c r="H181" s="20"/>
      <c r="J181" s="6" t="s">
        <v>267</v>
      </c>
      <c r="M181" s="121" t="s">
        <v>270</v>
      </c>
      <c r="N181" s="121" t="s">
        <v>266</v>
      </c>
      <c r="O181" s="31"/>
      <c r="Q181" s="8"/>
      <c r="R181" s="8"/>
    </row>
    <row r="182" spans="1:18" x14ac:dyDescent="0.25">
      <c r="A182" s="87"/>
      <c r="B182" s="98"/>
      <c r="C182" s="95"/>
      <c r="D182" s="95"/>
      <c r="E182" s="95"/>
      <c r="F182" s="92"/>
      <c r="J182" t="s">
        <v>268</v>
      </c>
      <c r="K182" t="s">
        <v>269</v>
      </c>
      <c r="M182" s="121"/>
      <c r="N182" s="121"/>
    </row>
    <row r="183" spans="1:18" x14ac:dyDescent="0.25">
      <c r="A183" s="87"/>
      <c r="B183" s="98"/>
      <c r="C183" s="95"/>
      <c r="D183" s="95"/>
      <c r="E183" s="95"/>
      <c r="F183" s="92"/>
      <c r="J183" t="s">
        <v>271</v>
      </c>
      <c r="M183" s="121"/>
      <c r="N183" s="121"/>
    </row>
    <row r="184" spans="1:18" x14ac:dyDescent="0.25">
      <c r="A184" s="81"/>
      <c r="B184" s="99"/>
      <c r="C184" s="96"/>
      <c r="D184" s="96"/>
      <c r="E184" s="96"/>
      <c r="F184" s="93"/>
      <c r="J184" t="s">
        <v>272</v>
      </c>
      <c r="M184" s="121"/>
      <c r="N184" s="121"/>
    </row>
    <row r="185" spans="1:18" s="6" customFormat="1" x14ac:dyDescent="0.25">
      <c r="A185" s="80">
        <f>$A$2+48</f>
        <v>49</v>
      </c>
      <c r="B185" s="97">
        <v>8</v>
      </c>
      <c r="C185" s="94">
        <v>11</v>
      </c>
      <c r="D185" s="94">
        <v>1724</v>
      </c>
      <c r="E185" s="94">
        <v>321</v>
      </c>
      <c r="F185" s="91">
        <v>326</v>
      </c>
      <c r="G185" s="20" t="s">
        <v>273</v>
      </c>
      <c r="H185" s="20" t="s">
        <v>274</v>
      </c>
      <c r="I185" s="6" t="s">
        <v>103</v>
      </c>
      <c r="J185" s="6" t="s">
        <v>273</v>
      </c>
      <c r="M185" s="121" t="s">
        <v>275</v>
      </c>
      <c r="N185" s="121" t="s">
        <v>53</v>
      </c>
      <c r="O185" s="31"/>
      <c r="Q185" s="8"/>
      <c r="R185" s="8"/>
    </row>
    <row r="186" spans="1:18" x14ac:dyDescent="0.25">
      <c r="A186" s="81"/>
      <c r="B186" s="99"/>
      <c r="C186" s="96"/>
      <c r="D186" s="96"/>
      <c r="E186" s="96"/>
      <c r="F186" s="93"/>
      <c r="J186" t="s">
        <v>274</v>
      </c>
      <c r="M186" s="121"/>
      <c r="N186" s="121"/>
    </row>
    <row r="187" spans="1:18" s="6" customFormat="1" x14ac:dyDescent="0.25">
      <c r="A187" s="80">
        <f>$A$2+49</f>
        <v>50</v>
      </c>
      <c r="B187" s="97">
        <v>8</v>
      </c>
      <c r="C187" s="94">
        <v>11</v>
      </c>
      <c r="D187" s="94">
        <v>1724</v>
      </c>
      <c r="E187" s="94">
        <v>321</v>
      </c>
      <c r="F187" s="91">
        <v>326</v>
      </c>
      <c r="G187" s="20" t="s">
        <v>273</v>
      </c>
      <c r="H187" s="20" t="s">
        <v>274</v>
      </c>
      <c r="I187" s="6" t="s">
        <v>103</v>
      </c>
      <c r="J187" s="6" t="s">
        <v>273</v>
      </c>
      <c r="M187" s="121" t="s">
        <v>275</v>
      </c>
      <c r="N187" s="121" t="s">
        <v>53</v>
      </c>
      <c r="O187" s="31"/>
      <c r="Q187" s="8"/>
      <c r="R187" s="8"/>
    </row>
    <row r="188" spans="1:18" x14ac:dyDescent="0.25">
      <c r="A188" s="81"/>
      <c r="B188" s="99"/>
      <c r="C188" s="96"/>
      <c r="D188" s="96"/>
      <c r="E188" s="96"/>
      <c r="F188" s="93"/>
      <c r="J188" t="s">
        <v>274</v>
      </c>
      <c r="M188" s="121"/>
      <c r="N188" s="121"/>
    </row>
    <row r="189" spans="1:18" s="6" customFormat="1" ht="30" x14ac:dyDescent="0.25">
      <c r="A189" s="25">
        <f>$A$2+50</f>
        <v>51</v>
      </c>
      <c r="B189" s="4">
        <v>8</v>
      </c>
      <c r="C189" s="4">
        <v>11</v>
      </c>
      <c r="D189" s="4">
        <v>1724</v>
      </c>
      <c r="E189" s="4">
        <v>321</v>
      </c>
      <c r="F189" s="3">
        <v>326</v>
      </c>
      <c r="G189" s="20" t="s">
        <v>276</v>
      </c>
      <c r="H189" s="20"/>
      <c r="J189" s="6" t="s">
        <v>276</v>
      </c>
      <c r="M189" s="15" t="s">
        <v>277</v>
      </c>
      <c r="N189" s="15" t="s">
        <v>53</v>
      </c>
      <c r="O189" s="31"/>
      <c r="Q189" s="8"/>
      <c r="R189" s="8"/>
    </row>
    <row r="190" spans="1:18" s="6" customFormat="1" x14ac:dyDescent="0.25">
      <c r="A190" s="80">
        <f>$A$2+51</f>
        <v>52</v>
      </c>
      <c r="B190" s="97">
        <v>9</v>
      </c>
      <c r="C190" s="94">
        <v>11</v>
      </c>
      <c r="D190" s="94">
        <v>1724</v>
      </c>
      <c r="E190" s="94">
        <v>322</v>
      </c>
      <c r="F190" s="91">
        <v>327</v>
      </c>
      <c r="G190" s="20" t="s">
        <v>278</v>
      </c>
      <c r="H190" s="20" t="s">
        <v>284</v>
      </c>
      <c r="I190" s="6" t="s">
        <v>103</v>
      </c>
      <c r="J190" s="6" t="s">
        <v>278</v>
      </c>
      <c r="K190" s="6" t="s">
        <v>279</v>
      </c>
      <c r="L190" s="6" t="s">
        <v>280</v>
      </c>
      <c r="M190" s="121" t="s">
        <v>283</v>
      </c>
      <c r="N190" s="121" t="s">
        <v>53</v>
      </c>
      <c r="O190" s="31"/>
      <c r="Q190" s="8"/>
      <c r="R190" s="8"/>
    </row>
    <row r="191" spans="1:18" x14ac:dyDescent="0.25">
      <c r="A191" s="87"/>
      <c r="B191" s="98"/>
      <c r="C191" s="95"/>
      <c r="D191" s="95"/>
      <c r="E191" s="95"/>
      <c r="F191" s="92"/>
      <c r="G191" s="18" t="s">
        <v>124</v>
      </c>
      <c r="J191" t="s">
        <v>124</v>
      </c>
      <c r="L191" t="s">
        <v>282</v>
      </c>
      <c r="M191" s="121"/>
      <c r="N191" s="121"/>
    </row>
    <row r="192" spans="1:18" x14ac:dyDescent="0.25">
      <c r="A192" s="87"/>
      <c r="B192" s="98"/>
      <c r="C192" s="95"/>
      <c r="D192" s="95"/>
      <c r="E192" s="95"/>
      <c r="F192" s="92"/>
      <c r="G192" s="18" t="s">
        <v>190</v>
      </c>
      <c r="J192" t="s">
        <v>190</v>
      </c>
      <c r="L192" t="s">
        <v>282</v>
      </c>
      <c r="M192" s="121"/>
      <c r="N192" s="121"/>
    </row>
    <row r="193" spans="1:18" x14ac:dyDescent="0.25">
      <c r="A193" s="87"/>
      <c r="B193" s="98"/>
      <c r="C193" s="95"/>
      <c r="D193" s="95"/>
      <c r="E193" s="95"/>
      <c r="F193" s="92"/>
      <c r="G193" s="18" t="s">
        <v>281</v>
      </c>
      <c r="J193" t="s">
        <v>281</v>
      </c>
      <c r="L193" t="s">
        <v>282</v>
      </c>
      <c r="M193" s="121"/>
      <c r="N193" s="121"/>
    </row>
    <row r="194" spans="1:18" x14ac:dyDescent="0.25">
      <c r="A194" s="81"/>
      <c r="B194" s="99"/>
      <c r="C194" s="96"/>
      <c r="D194" s="96"/>
      <c r="E194" s="96"/>
      <c r="F194" s="93"/>
      <c r="J194" t="s">
        <v>284</v>
      </c>
      <c r="K194" t="s">
        <v>285</v>
      </c>
      <c r="M194" s="121"/>
      <c r="N194" s="121"/>
    </row>
    <row r="195" spans="1:18" s="6" customFormat="1" x14ac:dyDescent="0.25">
      <c r="A195" s="80">
        <f>$A$2+52</f>
        <v>53</v>
      </c>
      <c r="B195" s="97">
        <v>9</v>
      </c>
      <c r="C195" s="94">
        <v>11</v>
      </c>
      <c r="D195" s="94">
        <v>1724</v>
      </c>
      <c r="E195" s="94">
        <v>322</v>
      </c>
      <c r="F195" s="91">
        <v>327</v>
      </c>
      <c r="G195" s="20" t="s">
        <v>286</v>
      </c>
      <c r="H195" s="20" t="s">
        <v>287</v>
      </c>
      <c r="I195" s="6" t="s">
        <v>27</v>
      </c>
      <c r="J195" s="6" t="s">
        <v>286</v>
      </c>
      <c r="M195" s="121" t="s">
        <v>238</v>
      </c>
      <c r="N195" s="121" t="s">
        <v>20</v>
      </c>
      <c r="O195" s="31"/>
      <c r="Q195" s="8"/>
      <c r="R195" s="8"/>
    </row>
    <row r="196" spans="1:18" x14ac:dyDescent="0.25">
      <c r="A196" s="87"/>
      <c r="B196" s="98"/>
      <c r="C196" s="95"/>
      <c r="D196" s="95"/>
      <c r="E196" s="95"/>
      <c r="F196" s="92"/>
      <c r="I196" t="s">
        <v>309</v>
      </c>
      <c r="J196" t="s">
        <v>287</v>
      </c>
      <c r="K196" t="s">
        <v>279</v>
      </c>
      <c r="L196" t="s">
        <v>280</v>
      </c>
      <c r="M196" s="121"/>
      <c r="N196" s="121"/>
    </row>
    <row r="197" spans="1:18" x14ac:dyDescent="0.25">
      <c r="A197" s="81"/>
      <c r="B197" s="99"/>
      <c r="C197" s="96"/>
      <c r="D197" s="96"/>
      <c r="E197" s="96"/>
      <c r="F197" s="93"/>
      <c r="J197" t="s">
        <v>284</v>
      </c>
      <c r="K197" t="s">
        <v>288</v>
      </c>
      <c r="M197" s="121"/>
      <c r="N197" s="121"/>
    </row>
    <row r="198" spans="1:18" s="6" customFormat="1" ht="30" x14ac:dyDescent="0.25">
      <c r="A198" s="25">
        <f>$A$2+53</f>
        <v>54</v>
      </c>
      <c r="B198" s="4">
        <v>9</v>
      </c>
      <c r="C198" s="4">
        <v>11</v>
      </c>
      <c r="D198" s="4">
        <v>1724</v>
      </c>
      <c r="E198" s="4">
        <v>323</v>
      </c>
      <c r="F198" s="3">
        <v>328</v>
      </c>
      <c r="G198" s="20" t="s">
        <v>278</v>
      </c>
      <c r="H198" s="20"/>
      <c r="M198" s="15" t="s">
        <v>289</v>
      </c>
      <c r="N198" s="15" t="s">
        <v>266</v>
      </c>
      <c r="O198" s="31"/>
      <c r="Q198" s="8"/>
      <c r="R198" s="8"/>
    </row>
    <row r="199" spans="1:18" s="6" customFormat="1" x14ac:dyDescent="0.25">
      <c r="A199" s="80">
        <f>$A$2+54</f>
        <v>55</v>
      </c>
      <c r="B199" s="97">
        <v>14</v>
      </c>
      <c r="C199" s="94">
        <v>11</v>
      </c>
      <c r="D199" s="94">
        <v>1724</v>
      </c>
      <c r="E199" s="94">
        <v>323</v>
      </c>
      <c r="F199" s="91">
        <v>328</v>
      </c>
      <c r="G199" s="20" t="s">
        <v>290</v>
      </c>
      <c r="H199" s="20" t="s">
        <v>292</v>
      </c>
      <c r="I199" s="6" t="s">
        <v>104</v>
      </c>
      <c r="J199" s="6" t="s">
        <v>290</v>
      </c>
      <c r="L199" s="6" t="s">
        <v>291</v>
      </c>
      <c r="M199" s="121" t="s">
        <v>294</v>
      </c>
      <c r="N199" s="121" t="s">
        <v>53</v>
      </c>
      <c r="O199" s="31"/>
      <c r="Q199" s="8"/>
      <c r="R199" s="8"/>
    </row>
    <row r="200" spans="1:18" x14ac:dyDescent="0.25">
      <c r="A200" s="81"/>
      <c r="B200" s="99"/>
      <c r="C200" s="96"/>
      <c r="D200" s="96"/>
      <c r="E200" s="96"/>
      <c r="F200" s="93"/>
      <c r="J200" t="s">
        <v>292</v>
      </c>
      <c r="L200" t="s">
        <v>293</v>
      </c>
      <c r="M200" s="121"/>
      <c r="N200" s="121"/>
    </row>
    <row r="201" spans="1:18" s="6" customFormat="1" ht="30" x14ac:dyDescent="0.25">
      <c r="A201" s="25">
        <f>$A$2+55</f>
        <v>56</v>
      </c>
      <c r="B201" s="4">
        <v>14</v>
      </c>
      <c r="C201" s="4">
        <v>11</v>
      </c>
      <c r="D201" s="4">
        <v>1724</v>
      </c>
      <c r="E201" s="4">
        <v>323</v>
      </c>
      <c r="F201" s="3">
        <v>328</v>
      </c>
      <c r="G201" s="20" t="s">
        <v>290</v>
      </c>
      <c r="H201" s="20"/>
      <c r="I201" s="6" t="s">
        <v>104</v>
      </c>
      <c r="J201" s="6" t="s">
        <v>290</v>
      </c>
      <c r="L201" s="6" t="s">
        <v>291</v>
      </c>
      <c r="M201" s="15" t="s">
        <v>289</v>
      </c>
      <c r="N201" s="15" t="s">
        <v>266</v>
      </c>
      <c r="O201" s="31"/>
      <c r="Q201" s="8"/>
      <c r="R201" s="8"/>
    </row>
    <row r="202" spans="1:18" s="6" customFormat="1" x14ac:dyDescent="0.25">
      <c r="A202" s="80">
        <f>$A$2+56</f>
        <v>57</v>
      </c>
      <c r="B202" s="97">
        <v>15</v>
      </c>
      <c r="C202" s="94">
        <v>11</v>
      </c>
      <c r="D202" s="94">
        <v>1724</v>
      </c>
      <c r="E202" s="94">
        <v>323</v>
      </c>
      <c r="F202" s="91">
        <v>328</v>
      </c>
      <c r="G202" s="20" t="s">
        <v>295</v>
      </c>
      <c r="H202" s="20"/>
      <c r="I202" s="6" t="s">
        <v>27</v>
      </c>
      <c r="J202" s="6" t="s">
        <v>295</v>
      </c>
      <c r="M202" s="121" t="s">
        <v>302</v>
      </c>
      <c r="N202" s="121" t="s">
        <v>9</v>
      </c>
      <c r="O202" s="31"/>
      <c r="P202" s="6" t="s">
        <v>299</v>
      </c>
      <c r="Q202" s="8"/>
      <c r="R202" s="8"/>
    </row>
    <row r="203" spans="1:18" x14ac:dyDescent="0.25">
      <c r="A203" s="87"/>
      <c r="B203" s="98"/>
      <c r="C203" s="95"/>
      <c r="D203" s="95"/>
      <c r="E203" s="95"/>
      <c r="F203" s="92"/>
      <c r="I203" t="s">
        <v>27</v>
      </c>
      <c r="J203" t="s">
        <v>246</v>
      </c>
      <c r="M203" s="121"/>
      <c r="N203" s="121"/>
    </row>
    <row r="204" spans="1:18" x14ac:dyDescent="0.25">
      <c r="A204" s="87"/>
      <c r="B204" s="98"/>
      <c r="C204" s="95"/>
      <c r="D204" s="95"/>
      <c r="E204" s="95"/>
      <c r="F204" s="92"/>
      <c r="J204" t="s">
        <v>296</v>
      </c>
      <c r="K204" t="s">
        <v>297</v>
      </c>
      <c r="M204" s="121"/>
      <c r="N204" s="121"/>
    </row>
    <row r="205" spans="1:18" x14ac:dyDescent="0.25">
      <c r="A205" s="87"/>
      <c r="B205" s="98"/>
      <c r="C205" s="95"/>
      <c r="D205" s="95"/>
      <c r="E205" s="95"/>
      <c r="F205" s="92"/>
      <c r="J205" t="s">
        <v>298</v>
      </c>
      <c r="M205" s="121"/>
      <c r="N205" s="121"/>
    </row>
    <row r="206" spans="1:18" x14ac:dyDescent="0.25">
      <c r="A206" s="87"/>
      <c r="B206" s="98"/>
      <c r="C206" s="95"/>
      <c r="D206" s="95"/>
      <c r="E206" s="95"/>
      <c r="F206" s="92"/>
      <c r="I206" t="s">
        <v>31</v>
      </c>
      <c r="J206" t="s">
        <v>300</v>
      </c>
      <c r="M206" s="121"/>
      <c r="N206" s="121"/>
    </row>
    <row r="207" spans="1:18" x14ac:dyDescent="0.25">
      <c r="A207" s="87"/>
      <c r="B207" s="98"/>
      <c r="C207" s="95"/>
      <c r="D207" s="95"/>
      <c r="E207" s="95"/>
      <c r="F207" s="92"/>
      <c r="I207" t="s">
        <v>27</v>
      </c>
      <c r="J207" t="s">
        <v>249</v>
      </c>
      <c r="M207" s="121"/>
      <c r="N207" s="121"/>
    </row>
    <row r="208" spans="1:18" x14ac:dyDescent="0.25">
      <c r="A208" s="87"/>
      <c r="B208" s="98"/>
      <c r="C208" s="95"/>
      <c r="D208" s="95"/>
      <c r="E208" s="95"/>
      <c r="F208" s="92"/>
      <c r="I208" t="s">
        <v>27</v>
      </c>
      <c r="J208" t="s">
        <v>220</v>
      </c>
      <c r="M208" s="121"/>
      <c r="N208" s="121"/>
    </row>
    <row r="209" spans="1:18" x14ac:dyDescent="0.25">
      <c r="A209" s="81"/>
      <c r="B209" s="99"/>
      <c r="C209" s="96"/>
      <c r="D209" s="96"/>
      <c r="E209" s="96"/>
      <c r="F209" s="93"/>
      <c r="I209" t="s">
        <v>27</v>
      </c>
      <c r="J209" t="s">
        <v>301</v>
      </c>
      <c r="M209" s="121"/>
      <c r="N209" s="121"/>
    </row>
    <row r="210" spans="1:18" s="6" customFormat="1" x14ac:dyDescent="0.25">
      <c r="A210" s="80">
        <f>$A$2+57</f>
        <v>58</v>
      </c>
      <c r="B210" s="97">
        <v>15</v>
      </c>
      <c r="C210" s="94">
        <v>11</v>
      </c>
      <c r="D210" s="94">
        <v>1724</v>
      </c>
      <c r="E210" s="94">
        <v>324</v>
      </c>
      <c r="F210" s="91">
        <v>329</v>
      </c>
      <c r="G210" s="20"/>
      <c r="H210" s="20"/>
      <c r="I210" s="6" t="s">
        <v>27</v>
      </c>
      <c r="J210" s="6" t="s">
        <v>303</v>
      </c>
      <c r="M210" s="121"/>
      <c r="N210" s="121"/>
      <c r="O210" s="31"/>
      <c r="Q210" s="8"/>
      <c r="R210" s="8"/>
    </row>
    <row r="211" spans="1:18" x14ac:dyDescent="0.25">
      <c r="A211" s="81"/>
      <c r="B211" s="99"/>
      <c r="C211" s="96"/>
      <c r="D211" s="96"/>
      <c r="E211" s="96"/>
      <c r="F211" s="93"/>
      <c r="I211" t="s">
        <v>339</v>
      </c>
      <c r="J211" t="s">
        <v>304</v>
      </c>
      <c r="M211" s="121"/>
      <c r="N211" s="121"/>
    </row>
    <row r="212" spans="1:18" s="6" customFormat="1" x14ac:dyDescent="0.25">
      <c r="A212" s="80">
        <f>$A$2+58</f>
        <v>59</v>
      </c>
      <c r="B212" s="97">
        <v>15</v>
      </c>
      <c r="C212" s="94">
        <v>11</v>
      </c>
      <c r="D212" s="94">
        <v>1724</v>
      </c>
      <c r="E212" s="94">
        <v>324</v>
      </c>
      <c r="F212" s="91">
        <v>329</v>
      </c>
      <c r="G212" s="20"/>
      <c r="H212" s="20"/>
      <c r="I212" s="6" t="s">
        <v>27</v>
      </c>
      <c r="J212" s="6" t="s">
        <v>171</v>
      </c>
      <c r="M212" s="121"/>
      <c r="N212" s="121"/>
      <c r="O212" s="31"/>
      <c r="Q212" s="8"/>
      <c r="R212" s="8"/>
    </row>
    <row r="213" spans="1:18" x14ac:dyDescent="0.25">
      <c r="A213" s="81"/>
      <c r="B213" s="99"/>
      <c r="C213" s="96"/>
      <c r="D213" s="96"/>
      <c r="E213" s="96"/>
      <c r="F213" s="93"/>
      <c r="I213" t="s">
        <v>339</v>
      </c>
      <c r="J213" t="s">
        <v>305</v>
      </c>
      <c r="M213" s="121"/>
      <c r="N213" s="121"/>
    </row>
    <row r="214" spans="1:18" s="6" customFormat="1" x14ac:dyDescent="0.25">
      <c r="A214" s="80">
        <f>$A$2+59</f>
        <v>60</v>
      </c>
      <c r="B214" s="97">
        <v>16</v>
      </c>
      <c r="C214" s="94">
        <v>11</v>
      </c>
      <c r="D214" s="94">
        <v>1724</v>
      </c>
      <c r="E214" s="94">
        <v>325</v>
      </c>
      <c r="F214" s="91">
        <v>330</v>
      </c>
      <c r="G214" s="20" t="s">
        <v>306</v>
      </c>
      <c r="H214" s="20" t="s">
        <v>311</v>
      </c>
      <c r="I214" s="6" t="s">
        <v>339</v>
      </c>
      <c r="J214" s="6" t="s">
        <v>306</v>
      </c>
      <c r="K214" s="6" t="s">
        <v>307</v>
      </c>
      <c r="L214" s="6" t="s">
        <v>308</v>
      </c>
      <c r="M214" s="121" t="s">
        <v>313</v>
      </c>
      <c r="N214" s="121" t="s">
        <v>177</v>
      </c>
      <c r="O214" s="31"/>
      <c r="P214" s="6" t="s">
        <v>312</v>
      </c>
      <c r="Q214" s="8"/>
      <c r="R214" s="8"/>
    </row>
    <row r="215" spans="1:18" x14ac:dyDescent="0.25">
      <c r="A215" s="81"/>
      <c r="B215" s="99"/>
      <c r="C215" s="96"/>
      <c r="D215" s="96"/>
      <c r="E215" s="96"/>
      <c r="F215" s="93"/>
      <c r="I215" t="s">
        <v>310</v>
      </c>
      <c r="J215" t="s">
        <v>311</v>
      </c>
      <c r="M215" s="121"/>
      <c r="N215" s="121"/>
    </row>
    <row r="216" spans="1:18" s="6" customFormat="1" x14ac:dyDescent="0.25">
      <c r="A216" s="80">
        <f>$A$2+60</f>
        <v>61</v>
      </c>
      <c r="B216" s="97">
        <v>16</v>
      </c>
      <c r="C216" s="94">
        <v>11</v>
      </c>
      <c r="D216" s="94">
        <v>1724</v>
      </c>
      <c r="E216" s="94">
        <v>325</v>
      </c>
      <c r="F216" s="91">
        <v>330</v>
      </c>
      <c r="G216" s="20" t="s">
        <v>314</v>
      </c>
      <c r="H216" s="20" t="s">
        <v>315</v>
      </c>
      <c r="J216" s="6" t="s">
        <v>314</v>
      </c>
      <c r="M216" s="121" t="s">
        <v>226</v>
      </c>
      <c r="N216" s="121" t="s">
        <v>84</v>
      </c>
      <c r="O216" s="31"/>
      <c r="Q216" s="8"/>
      <c r="R216" s="8"/>
    </row>
    <row r="217" spans="1:18" x14ac:dyDescent="0.25">
      <c r="A217" s="81"/>
      <c r="B217" s="99"/>
      <c r="C217" s="96"/>
      <c r="D217" s="96"/>
      <c r="E217" s="96"/>
      <c r="F217" s="93"/>
      <c r="H217" s="18" t="s">
        <v>316</v>
      </c>
      <c r="J217" t="s">
        <v>315</v>
      </c>
      <c r="M217" s="121"/>
      <c r="N217" s="121"/>
    </row>
    <row r="218" spans="1:18" s="6" customFormat="1" x14ac:dyDescent="0.25">
      <c r="A218" s="80">
        <f>$A$2+61</f>
        <v>62</v>
      </c>
      <c r="B218" s="97">
        <v>16</v>
      </c>
      <c r="C218" s="94">
        <v>11</v>
      </c>
      <c r="D218" s="94">
        <v>1724</v>
      </c>
      <c r="E218" s="94">
        <v>326</v>
      </c>
      <c r="F218" s="91">
        <v>331</v>
      </c>
      <c r="G218" s="20" t="s">
        <v>317</v>
      </c>
      <c r="H218" s="20" t="s">
        <v>295</v>
      </c>
      <c r="I218" s="6" t="s">
        <v>27</v>
      </c>
      <c r="J218" s="6" t="s">
        <v>317</v>
      </c>
      <c r="M218" s="121" t="s">
        <v>238</v>
      </c>
      <c r="N218" s="121" t="s">
        <v>20</v>
      </c>
      <c r="O218" s="31"/>
      <c r="Q218" s="8"/>
      <c r="R218" s="8"/>
    </row>
    <row r="219" spans="1:18" x14ac:dyDescent="0.25">
      <c r="A219" s="87"/>
      <c r="B219" s="98"/>
      <c r="C219" s="95"/>
      <c r="D219" s="95"/>
      <c r="E219" s="95"/>
      <c r="F219" s="92"/>
      <c r="I219" t="s">
        <v>27</v>
      </c>
      <c r="J219" t="s">
        <v>295</v>
      </c>
      <c r="K219" t="s">
        <v>318</v>
      </c>
      <c r="M219" s="121"/>
      <c r="N219" s="121"/>
    </row>
    <row r="220" spans="1:18" x14ac:dyDescent="0.25">
      <c r="A220" s="81"/>
      <c r="B220" s="99"/>
      <c r="C220" s="96"/>
      <c r="D220" s="96"/>
      <c r="E220" s="96"/>
      <c r="F220" s="93"/>
      <c r="J220" t="s">
        <v>319</v>
      </c>
      <c r="M220" s="121"/>
      <c r="N220" s="121"/>
    </row>
    <row r="221" spans="1:18" s="6" customFormat="1" x14ac:dyDescent="0.25">
      <c r="A221" s="80">
        <f>$A$2+62</f>
        <v>63</v>
      </c>
      <c r="B221" s="97">
        <v>16</v>
      </c>
      <c r="C221" s="94">
        <v>11</v>
      </c>
      <c r="D221" s="94">
        <v>1724</v>
      </c>
      <c r="E221" s="94">
        <v>326</v>
      </c>
      <c r="F221" s="91">
        <v>331</v>
      </c>
      <c r="G221" s="20" t="s">
        <v>317</v>
      </c>
      <c r="H221" s="20"/>
      <c r="I221" s="6" t="s">
        <v>27</v>
      </c>
      <c r="J221" s="6" t="s">
        <v>317</v>
      </c>
      <c r="M221" s="121" t="s">
        <v>238</v>
      </c>
      <c r="N221" s="121" t="s">
        <v>9</v>
      </c>
      <c r="O221" s="31"/>
      <c r="P221" s="6" t="s">
        <v>330</v>
      </c>
      <c r="Q221" s="8"/>
      <c r="R221" s="8"/>
    </row>
    <row r="222" spans="1:18" x14ac:dyDescent="0.25">
      <c r="A222" s="87"/>
      <c r="B222" s="98"/>
      <c r="C222" s="95"/>
      <c r="D222" s="95"/>
      <c r="E222" s="95"/>
      <c r="F222" s="92"/>
      <c r="I222" t="s">
        <v>27</v>
      </c>
      <c r="J222" t="s">
        <v>320</v>
      </c>
      <c r="M222" s="121"/>
      <c r="N222" s="121"/>
    </row>
    <row r="223" spans="1:18" x14ac:dyDescent="0.25">
      <c r="A223" s="87"/>
      <c r="B223" s="98"/>
      <c r="C223" s="95"/>
      <c r="D223" s="95"/>
      <c r="E223" s="95"/>
      <c r="F223" s="92"/>
      <c r="I223" t="s">
        <v>27</v>
      </c>
      <c r="J223" t="s">
        <v>329</v>
      </c>
      <c r="M223" s="121"/>
      <c r="N223" s="121"/>
    </row>
    <row r="224" spans="1:18" x14ac:dyDescent="0.25">
      <c r="A224" s="87"/>
      <c r="B224" s="98"/>
      <c r="C224" s="95"/>
      <c r="D224" s="95"/>
      <c r="E224" s="95"/>
      <c r="F224" s="92"/>
      <c r="J224" t="s">
        <v>321</v>
      </c>
      <c r="M224" s="121"/>
      <c r="N224" s="121"/>
    </row>
    <row r="225" spans="1:18" x14ac:dyDescent="0.25">
      <c r="A225" s="87"/>
      <c r="B225" s="98"/>
      <c r="C225" s="95"/>
      <c r="D225" s="95"/>
      <c r="E225" s="95"/>
      <c r="F225" s="92"/>
      <c r="J225" t="s">
        <v>322</v>
      </c>
      <c r="M225" s="121"/>
      <c r="N225" s="121"/>
    </row>
    <row r="226" spans="1:18" x14ac:dyDescent="0.25">
      <c r="A226" s="87"/>
      <c r="B226" s="98"/>
      <c r="C226" s="95"/>
      <c r="D226" s="95"/>
      <c r="E226" s="95"/>
      <c r="F226" s="92"/>
      <c r="I226" t="s">
        <v>27</v>
      </c>
      <c r="J226" t="s">
        <v>328</v>
      </c>
      <c r="K226" t="s">
        <v>324</v>
      </c>
      <c r="M226" s="121"/>
      <c r="N226" s="121"/>
    </row>
    <row r="227" spans="1:18" x14ac:dyDescent="0.25">
      <c r="A227" s="87"/>
      <c r="B227" s="98"/>
      <c r="C227" s="95"/>
      <c r="D227" s="95"/>
      <c r="E227" s="95"/>
      <c r="F227" s="92"/>
      <c r="J227" t="s">
        <v>64</v>
      </c>
      <c r="K227" t="s">
        <v>318</v>
      </c>
      <c r="L227" t="s">
        <v>323</v>
      </c>
      <c r="M227" s="121"/>
      <c r="N227" s="121"/>
    </row>
    <row r="228" spans="1:18" x14ac:dyDescent="0.25">
      <c r="A228" s="87"/>
      <c r="B228" s="98"/>
      <c r="C228" s="95"/>
      <c r="D228" s="95"/>
      <c r="E228" s="95"/>
      <c r="F228" s="92"/>
      <c r="I228" t="s">
        <v>31</v>
      </c>
      <c r="J228" t="s">
        <v>33</v>
      </c>
      <c r="M228" s="121"/>
      <c r="N228" s="121"/>
    </row>
    <row r="229" spans="1:18" x14ac:dyDescent="0.25">
      <c r="A229" s="87"/>
      <c r="B229" s="98"/>
      <c r="C229" s="95"/>
      <c r="D229" s="95"/>
      <c r="E229" s="95"/>
      <c r="F229" s="92"/>
      <c r="J229" t="s">
        <v>325</v>
      </c>
      <c r="M229" s="121"/>
      <c r="N229" s="121"/>
    </row>
    <row r="230" spans="1:18" x14ac:dyDescent="0.25">
      <c r="A230" s="87"/>
      <c r="B230" s="98"/>
      <c r="C230" s="95"/>
      <c r="D230" s="95"/>
      <c r="E230" s="95"/>
      <c r="F230" s="92"/>
      <c r="I230" t="s">
        <v>27</v>
      </c>
      <c r="J230" t="s">
        <v>326</v>
      </c>
      <c r="M230" s="121"/>
      <c r="N230" s="121"/>
    </row>
    <row r="231" spans="1:18" x14ac:dyDescent="0.25">
      <c r="A231" s="81"/>
      <c r="B231" s="99"/>
      <c r="C231" s="96"/>
      <c r="D231" s="96"/>
      <c r="E231" s="96"/>
      <c r="F231" s="93"/>
      <c r="J231" t="s">
        <v>327</v>
      </c>
      <c r="M231" s="121"/>
      <c r="N231" s="121"/>
    </row>
    <row r="232" spans="1:18" s="6" customFormat="1" ht="15" customHeight="1" x14ac:dyDescent="0.25">
      <c r="A232" s="80">
        <f>$A$2+63</f>
        <v>64</v>
      </c>
      <c r="B232" s="97">
        <v>22</v>
      </c>
      <c r="C232" s="94">
        <v>11</v>
      </c>
      <c r="D232" s="94">
        <v>1724</v>
      </c>
      <c r="E232" s="94">
        <v>327</v>
      </c>
      <c r="F232" s="91">
        <v>332</v>
      </c>
      <c r="G232" s="20" t="s">
        <v>317</v>
      </c>
      <c r="H232" s="20"/>
      <c r="I232" s="6" t="s">
        <v>27</v>
      </c>
      <c r="J232" s="6" t="s">
        <v>317</v>
      </c>
      <c r="M232" s="121" t="s">
        <v>238</v>
      </c>
      <c r="N232" s="121" t="s">
        <v>9</v>
      </c>
      <c r="O232" s="31"/>
      <c r="Q232" s="8"/>
      <c r="R232" s="8"/>
    </row>
    <row r="233" spans="1:18" x14ac:dyDescent="0.25">
      <c r="A233" s="87"/>
      <c r="B233" s="98"/>
      <c r="C233" s="95"/>
      <c r="D233" s="95"/>
      <c r="E233" s="95"/>
      <c r="F233" s="92"/>
      <c r="I233" t="s">
        <v>103</v>
      </c>
      <c r="J233" t="s">
        <v>331</v>
      </c>
      <c r="K233" t="s">
        <v>332</v>
      </c>
      <c r="M233" s="121"/>
      <c r="N233" s="121"/>
    </row>
    <row r="234" spans="1:18" x14ac:dyDescent="0.25">
      <c r="A234" s="87"/>
      <c r="B234" s="98"/>
      <c r="C234" s="95"/>
      <c r="D234" s="95"/>
      <c r="E234" s="95"/>
      <c r="F234" s="92"/>
      <c r="J234" t="s">
        <v>333</v>
      </c>
      <c r="L234" t="s">
        <v>334</v>
      </c>
      <c r="M234" s="121"/>
      <c r="N234" s="121"/>
    </row>
    <row r="235" spans="1:18" x14ac:dyDescent="0.25">
      <c r="A235" s="87"/>
      <c r="B235" s="98"/>
      <c r="C235" s="95"/>
      <c r="D235" s="95"/>
      <c r="E235" s="95"/>
      <c r="F235" s="92"/>
      <c r="I235" t="s">
        <v>339</v>
      </c>
      <c r="J235" t="s">
        <v>335</v>
      </c>
      <c r="M235" s="121"/>
      <c r="N235" s="121"/>
    </row>
    <row r="236" spans="1:18" x14ac:dyDescent="0.25">
      <c r="A236" s="87"/>
      <c r="B236" s="98"/>
      <c r="C236" s="95"/>
      <c r="D236" s="95"/>
      <c r="E236" s="95"/>
      <c r="F236" s="92"/>
      <c r="J236" t="s">
        <v>336</v>
      </c>
      <c r="L236" t="s">
        <v>337</v>
      </c>
      <c r="M236" s="121"/>
      <c r="N236" s="121"/>
    </row>
    <row r="237" spans="1:18" x14ac:dyDescent="0.25">
      <c r="A237" s="81"/>
      <c r="B237" s="99"/>
      <c r="C237" s="96"/>
      <c r="D237" s="96"/>
      <c r="E237" s="96"/>
      <c r="F237" s="93"/>
      <c r="I237" t="s">
        <v>27</v>
      </c>
      <c r="J237" t="s">
        <v>338</v>
      </c>
      <c r="M237" s="121"/>
      <c r="N237" s="121"/>
    </row>
    <row r="238" spans="1:18" s="6" customFormat="1" x14ac:dyDescent="0.25">
      <c r="A238" s="80">
        <f>$A$2+64</f>
        <v>65</v>
      </c>
      <c r="B238" s="97">
        <v>22</v>
      </c>
      <c r="C238" s="94">
        <v>11</v>
      </c>
      <c r="D238" s="94">
        <v>1724</v>
      </c>
      <c r="E238" s="94">
        <v>328</v>
      </c>
      <c r="F238" s="91">
        <v>333</v>
      </c>
      <c r="G238" s="20" t="s">
        <v>64</v>
      </c>
      <c r="H238" s="20" t="s">
        <v>342</v>
      </c>
      <c r="I238" s="6" t="s">
        <v>27</v>
      </c>
      <c r="J238" s="6" t="s">
        <v>64</v>
      </c>
      <c r="K238" s="6" t="s">
        <v>341</v>
      </c>
      <c r="M238" s="121" t="s">
        <v>343</v>
      </c>
      <c r="N238" s="121" t="s">
        <v>53</v>
      </c>
      <c r="O238" s="31"/>
      <c r="Q238" s="8"/>
      <c r="R238" s="8"/>
    </row>
    <row r="239" spans="1:18" x14ac:dyDescent="0.25">
      <c r="A239" s="81"/>
      <c r="B239" s="99"/>
      <c r="C239" s="96"/>
      <c r="D239" s="96"/>
      <c r="E239" s="96"/>
      <c r="F239" s="93"/>
      <c r="J239" t="s">
        <v>342</v>
      </c>
      <c r="M239" s="121"/>
      <c r="N239" s="121"/>
    </row>
    <row r="240" spans="1:18" s="6" customFormat="1" x14ac:dyDescent="0.25">
      <c r="A240" s="80">
        <f>$A$2+65</f>
        <v>66</v>
      </c>
      <c r="B240" s="97">
        <v>24</v>
      </c>
      <c r="C240" s="94">
        <v>11</v>
      </c>
      <c r="D240" s="94">
        <v>1724</v>
      </c>
      <c r="E240" s="94">
        <v>328</v>
      </c>
      <c r="F240" s="91">
        <v>333</v>
      </c>
      <c r="G240" s="20" t="s">
        <v>346</v>
      </c>
      <c r="H240" s="20"/>
      <c r="I240" s="6" t="s">
        <v>27</v>
      </c>
      <c r="J240" s="6" t="s">
        <v>345</v>
      </c>
      <c r="M240" s="72"/>
      <c r="N240" s="72" t="s">
        <v>344</v>
      </c>
      <c r="O240" s="31"/>
      <c r="Q240" s="8"/>
      <c r="R240" s="8"/>
    </row>
    <row r="241" spans="1:18" x14ac:dyDescent="0.25">
      <c r="A241" s="81"/>
      <c r="B241" s="99"/>
      <c r="C241" s="96"/>
      <c r="D241" s="96"/>
      <c r="E241" s="96"/>
      <c r="F241" s="93"/>
      <c r="I241" t="s">
        <v>27</v>
      </c>
      <c r="J241" t="s">
        <v>346</v>
      </c>
      <c r="M241" s="73"/>
      <c r="N241" s="73"/>
    </row>
    <row r="242" spans="1:18" s="6" customFormat="1" x14ac:dyDescent="0.25">
      <c r="A242" s="80">
        <f>$A$2+66</f>
        <v>67</v>
      </c>
      <c r="B242" s="97">
        <v>24</v>
      </c>
      <c r="C242" s="94">
        <v>11</v>
      </c>
      <c r="D242" s="94">
        <v>1724</v>
      </c>
      <c r="E242" s="94">
        <v>328</v>
      </c>
      <c r="F242" s="91">
        <v>333</v>
      </c>
      <c r="G242" s="20" t="s">
        <v>64</v>
      </c>
      <c r="H242" s="20" t="s">
        <v>342</v>
      </c>
      <c r="I242" s="6" t="s">
        <v>27</v>
      </c>
      <c r="J242" s="6" t="s">
        <v>64</v>
      </c>
      <c r="K242" s="6" t="s">
        <v>341</v>
      </c>
      <c r="M242" s="72" t="s">
        <v>238</v>
      </c>
      <c r="N242" s="72" t="s">
        <v>53</v>
      </c>
      <c r="O242" s="31"/>
      <c r="P242" s="6" t="s">
        <v>348</v>
      </c>
      <c r="Q242" s="8"/>
      <c r="R242" s="8"/>
    </row>
    <row r="243" spans="1:18" x14ac:dyDescent="0.25">
      <c r="A243" s="87"/>
      <c r="B243" s="98"/>
      <c r="C243" s="95"/>
      <c r="D243" s="95"/>
      <c r="E243" s="95"/>
      <c r="F243" s="92"/>
      <c r="I243" t="s">
        <v>27</v>
      </c>
      <c r="J243" t="s">
        <v>342</v>
      </c>
      <c r="K243" t="s">
        <v>347</v>
      </c>
      <c r="M243" s="83"/>
      <c r="N243" s="83"/>
    </row>
    <row r="244" spans="1:18" x14ac:dyDescent="0.25">
      <c r="A244" s="81"/>
      <c r="B244" s="99"/>
      <c r="C244" s="96"/>
      <c r="D244" s="96"/>
      <c r="E244" s="96"/>
      <c r="F244" s="93"/>
      <c r="J244" t="s">
        <v>322</v>
      </c>
      <c r="K244" t="s">
        <v>347</v>
      </c>
      <c r="M244" s="73"/>
      <c r="N244" s="73"/>
    </row>
    <row r="245" spans="1:18" s="6" customFormat="1" ht="15" customHeight="1" x14ac:dyDescent="0.25">
      <c r="A245" s="80">
        <f>$A$2+67</f>
        <v>68</v>
      </c>
      <c r="B245" s="97">
        <v>1</v>
      </c>
      <c r="C245" s="94">
        <v>12</v>
      </c>
      <c r="D245" s="94">
        <v>1724</v>
      </c>
      <c r="E245" s="94">
        <v>329</v>
      </c>
      <c r="F245" s="91">
        <v>334</v>
      </c>
      <c r="G245" s="20" t="s">
        <v>295</v>
      </c>
      <c r="H245" s="20"/>
      <c r="J245" s="6" t="s">
        <v>295</v>
      </c>
      <c r="K245" s="6" t="s">
        <v>341</v>
      </c>
      <c r="M245" s="72" t="s">
        <v>238</v>
      </c>
      <c r="N245" s="72" t="s">
        <v>9</v>
      </c>
      <c r="O245" s="31"/>
      <c r="Q245" s="8"/>
      <c r="R245" s="8"/>
    </row>
    <row r="246" spans="1:18" x14ac:dyDescent="0.25">
      <c r="A246" s="87"/>
      <c r="B246" s="98"/>
      <c r="C246" s="95"/>
      <c r="D246" s="95"/>
      <c r="E246" s="95"/>
      <c r="F246" s="92"/>
      <c r="I246" t="s">
        <v>27</v>
      </c>
      <c r="J246" t="s">
        <v>249</v>
      </c>
      <c r="M246" s="83"/>
      <c r="N246" s="83"/>
    </row>
    <row r="247" spans="1:18" x14ac:dyDescent="0.25">
      <c r="A247" s="87"/>
      <c r="B247" s="98"/>
      <c r="C247" s="95"/>
      <c r="D247" s="95"/>
      <c r="E247" s="95"/>
      <c r="F247" s="92"/>
      <c r="J247" t="s">
        <v>349</v>
      </c>
      <c r="M247" s="83"/>
      <c r="N247" s="83"/>
    </row>
    <row r="248" spans="1:18" x14ac:dyDescent="0.25">
      <c r="A248" s="87"/>
      <c r="B248" s="98"/>
      <c r="C248" s="95"/>
      <c r="D248" s="95"/>
      <c r="E248" s="95"/>
      <c r="F248" s="92"/>
      <c r="J248" t="s">
        <v>350</v>
      </c>
      <c r="M248" s="83"/>
      <c r="N248" s="83"/>
    </row>
    <row r="249" spans="1:18" x14ac:dyDescent="0.25">
      <c r="A249" s="87"/>
      <c r="B249" s="98"/>
      <c r="C249" s="95"/>
      <c r="D249" s="95"/>
      <c r="E249" s="95"/>
      <c r="F249" s="92"/>
      <c r="J249" t="s">
        <v>351</v>
      </c>
      <c r="M249" s="83"/>
      <c r="N249" s="83"/>
    </row>
    <row r="250" spans="1:18" x14ac:dyDescent="0.25">
      <c r="A250" s="87"/>
      <c r="B250" s="98"/>
      <c r="C250" s="95"/>
      <c r="D250" s="95"/>
      <c r="E250" s="95"/>
      <c r="F250" s="92"/>
      <c r="I250" t="s">
        <v>27</v>
      </c>
      <c r="J250" t="s">
        <v>352</v>
      </c>
      <c r="M250" s="83"/>
      <c r="N250" s="83"/>
    </row>
    <row r="251" spans="1:18" x14ac:dyDescent="0.25">
      <c r="A251" s="87"/>
      <c r="B251" s="98"/>
      <c r="C251" s="95"/>
      <c r="D251" s="95"/>
      <c r="E251" s="95"/>
      <c r="F251" s="92"/>
      <c r="J251" t="s">
        <v>353</v>
      </c>
      <c r="L251" t="s">
        <v>354</v>
      </c>
      <c r="M251" s="83"/>
      <c r="N251" s="83"/>
    </row>
    <row r="252" spans="1:18" x14ac:dyDescent="0.25">
      <c r="A252" s="81"/>
      <c r="B252" s="99"/>
      <c r="C252" s="96"/>
      <c r="D252" s="96"/>
      <c r="E252" s="96"/>
      <c r="F252" s="93"/>
      <c r="J252" t="s">
        <v>102</v>
      </c>
      <c r="M252" s="73"/>
      <c r="N252" s="73"/>
    </row>
    <row r="253" spans="1:18" s="6" customFormat="1" ht="15" customHeight="1" x14ac:dyDescent="0.25">
      <c r="A253" s="25">
        <f>$A$2+68</f>
        <v>69</v>
      </c>
      <c r="B253" s="4">
        <v>1</v>
      </c>
      <c r="C253" s="4">
        <v>12</v>
      </c>
      <c r="D253" s="4">
        <v>1724</v>
      </c>
      <c r="E253" s="4">
        <v>329</v>
      </c>
      <c r="F253" s="3">
        <v>334</v>
      </c>
      <c r="G253" s="20" t="s">
        <v>64</v>
      </c>
      <c r="H253" s="20" t="s">
        <v>322</v>
      </c>
      <c r="J253" s="6" t="s">
        <v>64</v>
      </c>
      <c r="K253" s="6" t="s">
        <v>341</v>
      </c>
      <c r="M253" s="72" t="s">
        <v>238</v>
      </c>
      <c r="N253" s="72" t="s">
        <v>53</v>
      </c>
      <c r="O253" s="31"/>
      <c r="P253" s="6" t="s">
        <v>356</v>
      </c>
      <c r="Q253" s="8"/>
      <c r="R253" s="8"/>
    </row>
    <row r="254" spans="1:18" x14ac:dyDescent="0.25">
      <c r="J254" t="s">
        <v>322</v>
      </c>
      <c r="K254" t="s">
        <v>347</v>
      </c>
      <c r="M254" s="83"/>
      <c r="N254" s="83"/>
    </row>
    <row r="255" spans="1:18" x14ac:dyDescent="0.25">
      <c r="J255" t="s">
        <v>355</v>
      </c>
      <c r="M255" s="73"/>
      <c r="N255" s="73"/>
    </row>
    <row r="256" spans="1:18" s="6" customFormat="1" x14ac:dyDescent="0.25">
      <c r="A256" s="80">
        <f>$A$2+69</f>
        <v>70</v>
      </c>
      <c r="B256" s="97">
        <v>1</v>
      </c>
      <c r="C256" s="94">
        <v>12</v>
      </c>
      <c r="D256" s="94">
        <v>1724</v>
      </c>
      <c r="E256" s="94">
        <v>330</v>
      </c>
      <c r="F256" s="91">
        <v>335</v>
      </c>
      <c r="G256" s="20" t="s">
        <v>357</v>
      </c>
      <c r="H256" s="20" t="s">
        <v>359</v>
      </c>
      <c r="I256" s="6" t="s">
        <v>103</v>
      </c>
      <c r="J256" s="6" t="s">
        <v>357</v>
      </c>
      <c r="K256" s="6" t="s">
        <v>358</v>
      </c>
      <c r="L256" s="6" t="s">
        <v>360</v>
      </c>
      <c r="M256" s="72" t="s">
        <v>364</v>
      </c>
      <c r="N256" s="72" t="s">
        <v>20</v>
      </c>
      <c r="O256" s="31"/>
      <c r="Q256" s="8"/>
      <c r="R256" s="8"/>
    </row>
    <row r="257" spans="1:18" x14ac:dyDescent="0.25">
      <c r="A257" s="87"/>
      <c r="B257" s="98"/>
      <c r="C257" s="95"/>
      <c r="D257" s="95"/>
      <c r="E257" s="95"/>
      <c r="F257" s="92"/>
      <c r="J257" t="s">
        <v>361</v>
      </c>
      <c r="L257" t="s">
        <v>362</v>
      </c>
      <c r="M257" s="83"/>
      <c r="N257" s="83"/>
    </row>
    <row r="258" spans="1:18" x14ac:dyDescent="0.25">
      <c r="A258" s="87"/>
      <c r="B258" s="98"/>
      <c r="C258" s="95"/>
      <c r="D258" s="95"/>
      <c r="E258" s="95"/>
      <c r="F258" s="92"/>
      <c r="J258" t="s">
        <v>363</v>
      </c>
      <c r="L258" t="s">
        <v>365</v>
      </c>
      <c r="M258" s="83"/>
      <c r="N258" s="83"/>
    </row>
    <row r="259" spans="1:18" x14ac:dyDescent="0.25">
      <c r="A259" s="87"/>
      <c r="B259" s="98"/>
      <c r="C259" s="95"/>
      <c r="D259" s="95"/>
      <c r="E259" s="95"/>
      <c r="F259" s="92"/>
      <c r="I259" t="s">
        <v>103</v>
      </c>
      <c r="J259" t="s">
        <v>359</v>
      </c>
      <c r="M259" s="83"/>
      <c r="N259" s="83"/>
    </row>
    <row r="260" spans="1:18" x14ac:dyDescent="0.25">
      <c r="A260" s="81"/>
      <c r="B260" s="99"/>
      <c r="C260" s="96"/>
      <c r="D260" s="96"/>
      <c r="E260" s="96"/>
      <c r="F260" s="93"/>
      <c r="J260" t="s">
        <v>150</v>
      </c>
      <c r="M260" s="73"/>
      <c r="N260" s="73"/>
    </row>
    <row r="261" spans="1:18" s="6" customFormat="1" x14ac:dyDescent="0.25">
      <c r="A261" s="25">
        <f>$A$2+70</f>
        <v>71</v>
      </c>
      <c r="B261" s="4">
        <v>12</v>
      </c>
      <c r="C261" s="4">
        <v>12</v>
      </c>
      <c r="D261" s="4">
        <v>1724</v>
      </c>
      <c r="E261" s="4">
        <v>331</v>
      </c>
      <c r="F261" s="3">
        <v>336</v>
      </c>
      <c r="G261" s="20" t="s">
        <v>367</v>
      </c>
      <c r="H261" s="20"/>
      <c r="J261" s="6" t="s">
        <v>367</v>
      </c>
      <c r="K261" s="6" t="s">
        <v>369</v>
      </c>
      <c r="L261" s="6" t="s">
        <v>368</v>
      </c>
      <c r="M261" s="27"/>
      <c r="N261" s="27" t="s">
        <v>366</v>
      </c>
      <c r="O261" s="31"/>
      <c r="Q261" s="8"/>
      <c r="R261" s="8"/>
    </row>
    <row r="262" spans="1:18" s="6" customFormat="1" x14ac:dyDescent="0.25">
      <c r="A262" s="80">
        <f>$A$2+71</f>
        <v>72</v>
      </c>
      <c r="B262" s="97">
        <v>12</v>
      </c>
      <c r="C262" s="94">
        <v>12</v>
      </c>
      <c r="D262" s="94">
        <v>1724</v>
      </c>
      <c r="E262" s="94">
        <v>331</v>
      </c>
      <c r="F262" s="91">
        <v>336</v>
      </c>
      <c r="G262" s="20" t="s">
        <v>370</v>
      </c>
      <c r="H262" s="20"/>
      <c r="I262" s="6" t="s">
        <v>27</v>
      </c>
      <c r="J262" s="6" t="s">
        <v>370</v>
      </c>
      <c r="L262" s="10" t="s">
        <v>375</v>
      </c>
      <c r="M262" s="118" t="s">
        <v>371</v>
      </c>
      <c r="N262" s="72" t="s">
        <v>283</v>
      </c>
      <c r="O262" s="31"/>
      <c r="P262" s="6" t="s">
        <v>372</v>
      </c>
      <c r="Q262" s="8"/>
      <c r="R262" s="8"/>
    </row>
    <row r="263" spans="1:18" x14ac:dyDescent="0.25">
      <c r="A263" s="87"/>
      <c r="B263" s="98"/>
      <c r="C263" s="95"/>
      <c r="D263" s="95"/>
      <c r="E263" s="95"/>
      <c r="F263" s="92"/>
      <c r="J263" t="s">
        <v>373</v>
      </c>
      <c r="L263" s="2" t="s">
        <v>375</v>
      </c>
      <c r="M263" s="119"/>
      <c r="N263" s="83"/>
    </row>
    <row r="264" spans="1:18" x14ac:dyDescent="0.25">
      <c r="A264" s="81"/>
      <c r="B264" s="99"/>
      <c r="C264" s="96"/>
      <c r="D264" s="96"/>
      <c r="E264" s="96"/>
      <c r="F264" s="93"/>
      <c r="J264" t="s">
        <v>374</v>
      </c>
      <c r="L264" s="2" t="s">
        <v>375</v>
      </c>
      <c r="M264" s="120"/>
      <c r="N264" s="73"/>
    </row>
    <row r="265" spans="1:18" s="6" customFormat="1" x14ac:dyDescent="0.25">
      <c r="A265" s="80">
        <f>$A$2+72</f>
        <v>73</v>
      </c>
      <c r="B265" s="97">
        <v>12</v>
      </c>
      <c r="C265" s="94">
        <v>12</v>
      </c>
      <c r="D265" s="94">
        <v>1724</v>
      </c>
      <c r="E265" s="94">
        <v>332</v>
      </c>
      <c r="F265" s="91">
        <v>337</v>
      </c>
      <c r="G265" s="20" t="s">
        <v>376</v>
      </c>
      <c r="H265" s="20" t="s">
        <v>378</v>
      </c>
      <c r="J265" s="6" t="s">
        <v>268</v>
      </c>
      <c r="K265" s="6" t="s">
        <v>269</v>
      </c>
      <c r="L265" s="10" t="s">
        <v>187</v>
      </c>
      <c r="M265" s="72" t="s">
        <v>385</v>
      </c>
      <c r="N265" s="72" t="s">
        <v>53</v>
      </c>
      <c r="O265" s="31"/>
      <c r="P265" s="6" t="s">
        <v>384</v>
      </c>
      <c r="Q265" s="8"/>
      <c r="R265" s="8"/>
    </row>
    <row r="266" spans="1:18" x14ac:dyDescent="0.25">
      <c r="A266" s="87"/>
      <c r="B266" s="98"/>
      <c r="C266" s="95"/>
      <c r="D266" s="95"/>
      <c r="E266" s="95"/>
      <c r="F266" s="92"/>
      <c r="G266" s="18" t="s">
        <v>377</v>
      </c>
      <c r="I266" t="s">
        <v>27</v>
      </c>
      <c r="J266" t="s">
        <v>376</v>
      </c>
      <c r="M266" s="83"/>
      <c r="N266" s="83"/>
    </row>
    <row r="267" spans="1:18" x14ac:dyDescent="0.25">
      <c r="A267" s="87"/>
      <c r="B267" s="98"/>
      <c r="C267" s="95"/>
      <c r="D267" s="95"/>
      <c r="E267" s="95"/>
      <c r="F267" s="92"/>
      <c r="J267" t="s">
        <v>377</v>
      </c>
      <c r="M267" s="83"/>
      <c r="N267" s="83"/>
    </row>
    <row r="268" spans="1:18" x14ac:dyDescent="0.25">
      <c r="A268" s="87"/>
      <c r="B268" s="98"/>
      <c r="C268" s="95"/>
      <c r="D268" s="95"/>
      <c r="E268" s="95"/>
      <c r="F268" s="92"/>
      <c r="I268" t="s">
        <v>339</v>
      </c>
      <c r="J268" t="s">
        <v>378</v>
      </c>
      <c r="K268" t="s">
        <v>379</v>
      </c>
      <c r="M268" s="83"/>
      <c r="N268" s="83"/>
    </row>
    <row r="269" spans="1:18" x14ac:dyDescent="0.25">
      <c r="A269" s="87"/>
      <c r="B269" s="98"/>
      <c r="C269" s="95"/>
      <c r="D269" s="95"/>
      <c r="E269" s="95"/>
      <c r="F269" s="92"/>
      <c r="J269" t="s">
        <v>380</v>
      </c>
      <c r="L269" t="s">
        <v>381</v>
      </c>
      <c r="M269" s="83"/>
      <c r="N269" s="83"/>
    </row>
    <row r="270" spans="1:18" x14ac:dyDescent="0.25">
      <c r="A270" s="87"/>
      <c r="B270" s="98"/>
      <c r="C270" s="95"/>
      <c r="D270" s="95"/>
      <c r="E270" s="95"/>
      <c r="F270" s="92"/>
      <c r="J270" t="s">
        <v>124</v>
      </c>
      <c r="L270" t="s">
        <v>381</v>
      </c>
      <c r="M270" s="83"/>
      <c r="N270" s="83"/>
    </row>
    <row r="271" spans="1:18" x14ac:dyDescent="0.25">
      <c r="A271" s="81"/>
      <c r="B271" s="99"/>
      <c r="C271" s="96"/>
      <c r="D271" s="96"/>
      <c r="E271" s="96"/>
      <c r="F271" s="93"/>
      <c r="J271" t="s">
        <v>382</v>
      </c>
      <c r="L271" t="s">
        <v>383</v>
      </c>
      <c r="M271" s="73"/>
      <c r="N271" s="73"/>
    </row>
    <row r="272" spans="1:18" s="6" customFormat="1" x14ac:dyDescent="0.25">
      <c r="A272" s="80">
        <f>$A$2+73</f>
        <v>74</v>
      </c>
      <c r="B272" s="97">
        <v>13</v>
      </c>
      <c r="C272" s="94">
        <v>12</v>
      </c>
      <c r="D272" s="94">
        <v>1724</v>
      </c>
      <c r="E272" s="94">
        <v>333</v>
      </c>
      <c r="F272" s="91">
        <v>338</v>
      </c>
      <c r="G272" s="20"/>
      <c r="H272" s="20"/>
      <c r="I272" s="6" t="s">
        <v>31</v>
      </c>
      <c r="J272" s="6" t="s">
        <v>386</v>
      </c>
      <c r="M272" s="72" t="s">
        <v>390</v>
      </c>
      <c r="N272" s="72" t="s">
        <v>9</v>
      </c>
      <c r="O272" s="31"/>
      <c r="P272" s="6" t="s">
        <v>391</v>
      </c>
      <c r="Q272" s="8"/>
      <c r="R272" s="8"/>
    </row>
    <row r="273" spans="1:18" x14ac:dyDescent="0.25">
      <c r="A273" s="87"/>
      <c r="B273" s="98"/>
      <c r="C273" s="95"/>
      <c r="D273" s="95"/>
      <c r="E273" s="95"/>
      <c r="F273" s="92"/>
      <c r="J273" t="s">
        <v>387</v>
      </c>
      <c r="M273" s="83"/>
      <c r="N273" s="83"/>
    </row>
    <row r="274" spans="1:18" x14ac:dyDescent="0.25">
      <c r="A274" s="81"/>
      <c r="B274" s="99"/>
      <c r="C274" s="96"/>
      <c r="D274" s="96"/>
      <c r="E274" s="96"/>
      <c r="F274" s="93"/>
      <c r="J274" t="s">
        <v>388</v>
      </c>
      <c r="L274" t="s">
        <v>389</v>
      </c>
      <c r="M274" s="73"/>
      <c r="N274" s="73"/>
    </row>
    <row r="275" spans="1:18" s="6" customFormat="1" x14ac:dyDescent="0.25">
      <c r="A275" s="80">
        <f>$A$2+74</f>
        <v>75</v>
      </c>
      <c r="B275" s="97">
        <v>13</v>
      </c>
      <c r="C275" s="94">
        <v>12</v>
      </c>
      <c r="D275" s="94">
        <v>1724</v>
      </c>
      <c r="E275" s="94">
        <v>334</v>
      </c>
      <c r="F275" s="91">
        <v>339</v>
      </c>
      <c r="G275" s="20" t="s">
        <v>392</v>
      </c>
      <c r="H275" s="20" t="s">
        <v>290</v>
      </c>
      <c r="J275" s="6" t="s">
        <v>392</v>
      </c>
      <c r="L275" s="6" t="s">
        <v>394</v>
      </c>
      <c r="M275" s="72" t="s">
        <v>390</v>
      </c>
      <c r="N275" s="72" t="s">
        <v>53</v>
      </c>
      <c r="O275" s="31"/>
      <c r="P275" s="6" t="s">
        <v>403</v>
      </c>
      <c r="Q275" s="8"/>
      <c r="R275" s="8"/>
    </row>
    <row r="276" spans="1:18" x14ac:dyDescent="0.25">
      <c r="A276" s="87"/>
      <c r="B276" s="98"/>
      <c r="C276" s="95"/>
      <c r="D276" s="95"/>
      <c r="E276" s="95"/>
      <c r="F276" s="92"/>
      <c r="I276" t="s">
        <v>104</v>
      </c>
      <c r="J276" t="s">
        <v>290</v>
      </c>
      <c r="L276" t="s">
        <v>393</v>
      </c>
      <c r="M276" s="83"/>
      <c r="N276" s="83"/>
    </row>
    <row r="277" spans="1:18" x14ac:dyDescent="0.25">
      <c r="A277" s="87"/>
      <c r="B277" s="98"/>
      <c r="C277" s="95"/>
      <c r="D277" s="95"/>
      <c r="E277" s="95"/>
      <c r="F277" s="92"/>
      <c r="J277" t="s">
        <v>395</v>
      </c>
      <c r="M277" s="83"/>
      <c r="N277" s="83"/>
    </row>
    <row r="278" spans="1:18" x14ac:dyDescent="0.25">
      <c r="A278" s="87"/>
      <c r="B278" s="98"/>
      <c r="C278" s="95"/>
      <c r="D278" s="95"/>
      <c r="E278" s="95"/>
      <c r="F278" s="92"/>
      <c r="J278" t="s">
        <v>396</v>
      </c>
      <c r="L278" t="s">
        <v>397</v>
      </c>
      <c r="M278" s="83"/>
      <c r="N278" s="83"/>
    </row>
    <row r="279" spans="1:18" x14ac:dyDescent="0.25">
      <c r="A279" s="81"/>
      <c r="B279" s="99"/>
      <c r="C279" s="96"/>
      <c r="D279" s="96"/>
      <c r="E279" s="96"/>
      <c r="F279" s="93"/>
      <c r="J279" t="s">
        <v>268</v>
      </c>
      <c r="K279" t="s">
        <v>269</v>
      </c>
      <c r="L279" s="2" t="s">
        <v>187</v>
      </c>
      <c r="M279" s="73"/>
      <c r="N279" s="73"/>
    </row>
    <row r="280" spans="1:18" s="6" customFormat="1" x14ac:dyDescent="0.25">
      <c r="A280" s="80">
        <f>$A$2+75</f>
        <v>76</v>
      </c>
      <c r="B280" s="97">
        <v>13</v>
      </c>
      <c r="C280" s="94">
        <v>12</v>
      </c>
      <c r="D280" s="94">
        <v>1724</v>
      </c>
      <c r="E280" s="94">
        <v>335</v>
      </c>
      <c r="F280" s="91">
        <v>340</v>
      </c>
      <c r="G280" s="20" t="s">
        <v>398</v>
      </c>
      <c r="H280" s="20" t="s">
        <v>400</v>
      </c>
      <c r="I280" s="6" t="s">
        <v>29</v>
      </c>
      <c r="J280" s="6" t="s">
        <v>398</v>
      </c>
      <c r="L280" s="6" t="s">
        <v>399</v>
      </c>
      <c r="M280" s="72" t="s">
        <v>206</v>
      </c>
      <c r="N280" s="72" t="s">
        <v>53</v>
      </c>
      <c r="O280" s="31"/>
      <c r="Q280" s="8"/>
      <c r="R280" s="8"/>
    </row>
    <row r="281" spans="1:18" x14ac:dyDescent="0.25">
      <c r="A281" s="87"/>
      <c r="B281" s="98"/>
      <c r="C281" s="95"/>
      <c r="D281" s="95"/>
      <c r="E281" s="95"/>
      <c r="F281" s="92"/>
      <c r="J281" t="s">
        <v>400</v>
      </c>
      <c r="L281" t="s">
        <v>401</v>
      </c>
      <c r="M281" s="83"/>
      <c r="N281" s="83"/>
    </row>
    <row r="282" spans="1:18" x14ac:dyDescent="0.25">
      <c r="A282" s="81"/>
      <c r="B282" s="99"/>
      <c r="C282" s="96"/>
      <c r="D282" s="96"/>
      <c r="E282" s="96"/>
      <c r="F282" s="93"/>
      <c r="J282" t="s">
        <v>204</v>
      </c>
      <c r="L282" t="s">
        <v>402</v>
      </c>
      <c r="M282" s="73"/>
      <c r="N282" s="73"/>
    </row>
    <row r="283" spans="1:18" s="6" customFormat="1" x14ac:dyDescent="0.25">
      <c r="A283" s="80">
        <f>$A$2+76</f>
        <v>77</v>
      </c>
      <c r="B283" s="97">
        <v>13</v>
      </c>
      <c r="C283" s="94">
        <v>12</v>
      </c>
      <c r="D283" s="94">
        <v>1724</v>
      </c>
      <c r="E283" s="94">
        <v>336</v>
      </c>
      <c r="F283" s="91">
        <v>341</v>
      </c>
      <c r="G283" s="20" t="s">
        <v>405</v>
      </c>
      <c r="H283" s="20" t="s">
        <v>407</v>
      </c>
      <c r="I283" s="6" t="s">
        <v>31</v>
      </c>
      <c r="J283" s="6" t="s">
        <v>405</v>
      </c>
      <c r="L283" s="6" t="s">
        <v>406</v>
      </c>
      <c r="M283" s="72" t="s">
        <v>428</v>
      </c>
      <c r="N283" s="72" t="s">
        <v>53</v>
      </c>
      <c r="O283" s="70" t="s">
        <v>409</v>
      </c>
      <c r="Q283" s="8"/>
      <c r="R283" s="8"/>
    </row>
    <row r="284" spans="1:18" x14ac:dyDescent="0.25">
      <c r="A284" s="81"/>
      <c r="B284" s="99"/>
      <c r="C284" s="96"/>
      <c r="D284" s="96"/>
      <c r="E284" s="96"/>
      <c r="F284" s="93"/>
      <c r="J284" t="s">
        <v>407</v>
      </c>
      <c r="L284" t="s">
        <v>408</v>
      </c>
      <c r="M284" s="73"/>
      <c r="N284" s="73"/>
      <c r="O284" s="71"/>
    </row>
    <row r="285" spans="1:18" s="6" customFormat="1" x14ac:dyDescent="0.25">
      <c r="A285" s="80">
        <f>$A$2+77</f>
        <v>78</v>
      </c>
      <c r="B285" s="97">
        <v>13</v>
      </c>
      <c r="C285" s="94">
        <v>12</v>
      </c>
      <c r="D285" s="94">
        <v>1724</v>
      </c>
      <c r="E285" s="94">
        <v>337</v>
      </c>
      <c r="F285" s="91">
        <v>342</v>
      </c>
      <c r="G285" s="20" t="s">
        <v>178</v>
      </c>
      <c r="H285" s="20" t="s">
        <v>411</v>
      </c>
      <c r="I285" s="6" t="s">
        <v>27</v>
      </c>
      <c r="J285" s="6" t="s">
        <v>178</v>
      </c>
      <c r="K285" s="6" t="s">
        <v>410</v>
      </c>
      <c r="M285" s="108"/>
      <c r="N285" s="72" t="s">
        <v>344</v>
      </c>
      <c r="O285" s="31"/>
      <c r="Q285" s="8"/>
      <c r="R285" s="8"/>
    </row>
    <row r="286" spans="1:18" x14ac:dyDescent="0.25">
      <c r="A286" s="81"/>
      <c r="B286" s="99"/>
      <c r="C286" s="96"/>
      <c r="D286" s="96"/>
      <c r="E286" s="96"/>
      <c r="F286" s="93"/>
      <c r="I286" t="s">
        <v>339</v>
      </c>
      <c r="J286" t="s">
        <v>411</v>
      </c>
      <c r="M286" s="109"/>
      <c r="N286" s="73"/>
    </row>
    <row r="287" spans="1:18" s="6" customFormat="1" x14ac:dyDescent="0.25">
      <c r="A287" s="25">
        <f>$A$2+78</f>
        <v>79</v>
      </c>
      <c r="B287" s="4">
        <v>13</v>
      </c>
      <c r="C287" s="4">
        <v>12</v>
      </c>
      <c r="D287" s="4">
        <v>1724</v>
      </c>
      <c r="E287" s="4">
        <v>337</v>
      </c>
      <c r="F287" s="3">
        <v>342</v>
      </c>
      <c r="G287" s="20"/>
      <c r="H287" s="20"/>
      <c r="I287" s="6" t="s">
        <v>27</v>
      </c>
      <c r="J287" s="6" t="s">
        <v>171</v>
      </c>
      <c r="M287" s="27"/>
      <c r="N287" s="27" t="s">
        <v>344</v>
      </c>
      <c r="O287" s="31"/>
      <c r="Q287" s="8"/>
      <c r="R287" s="8"/>
    </row>
    <row r="288" spans="1:18" s="6" customFormat="1" x14ac:dyDescent="0.25">
      <c r="A288" s="80">
        <f>$A$2+79</f>
        <v>80</v>
      </c>
      <c r="B288" s="97">
        <v>15</v>
      </c>
      <c r="C288" s="94">
        <v>12</v>
      </c>
      <c r="D288" s="94">
        <v>1724</v>
      </c>
      <c r="E288" s="94">
        <v>337</v>
      </c>
      <c r="F288" s="91">
        <v>342</v>
      </c>
      <c r="G288" s="20" t="s">
        <v>194</v>
      </c>
      <c r="H288" s="20" t="s">
        <v>243</v>
      </c>
      <c r="I288" s="6" t="s">
        <v>27</v>
      </c>
      <c r="J288" s="6" t="s">
        <v>194</v>
      </c>
      <c r="M288" s="72" t="s">
        <v>159</v>
      </c>
      <c r="N288" s="72" t="s">
        <v>9</v>
      </c>
      <c r="O288" s="70" t="s">
        <v>417</v>
      </c>
      <c r="P288" s="6" t="s">
        <v>415</v>
      </c>
      <c r="Q288" s="8"/>
      <c r="R288" s="8"/>
    </row>
    <row r="289" spans="1:18" x14ac:dyDescent="0.25">
      <c r="A289" s="87"/>
      <c r="B289" s="98"/>
      <c r="C289" s="95"/>
      <c r="D289" s="95"/>
      <c r="E289" s="95"/>
      <c r="F289" s="92"/>
      <c r="J289" t="s">
        <v>413</v>
      </c>
      <c r="L289" t="s">
        <v>414</v>
      </c>
      <c r="M289" s="83"/>
      <c r="N289" s="83"/>
      <c r="O289" s="82"/>
    </row>
    <row r="290" spans="1:18" x14ac:dyDescent="0.25">
      <c r="A290" s="87"/>
      <c r="B290" s="98"/>
      <c r="C290" s="95"/>
      <c r="D290" s="95"/>
      <c r="E290" s="95"/>
      <c r="F290" s="92"/>
      <c r="I290" t="s">
        <v>339</v>
      </c>
      <c r="J290" t="s">
        <v>412</v>
      </c>
      <c r="M290" s="83"/>
      <c r="N290" s="83"/>
      <c r="O290" s="82"/>
    </row>
    <row r="291" spans="1:18" x14ac:dyDescent="0.25">
      <c r="A291" s="81"/>
      <c r="B291" s="99"/>
      <c r="C291" s="96"/>
      <c r="D291" s="96"/>
      <c r="E291" s="96"/>
      <c r="F291" s="93"/>
      <c r="J291" t="s">
        <v>243</v>
      </c>
      <c r="M291" s="73"/>
      <c r="N291" s="73"/>
      <c r="O291" s="71"/>
    </row>
    <row r="292" spans="1:18" s="6" customFormat="1" ht="15" customHeight="1" x14ac:dyDescent="0.25">
      <c r="A292" s="80">
        <f>$A$2+80</f>
        <v>81</v>
      </c>
      <c r="B292" s="97">
        <v>15</v>
      </c>
      <c r="C292" s="94">
        <v>12</v>
      </c>
      <c r="D292" s="94">
        <v>1724</v>
      </c>
      <c r="E292" s="94">
        <v>338</v>
      </c>
      <c r="F292" s="91">
        <v>343</v>
      </c>
      <c r="G292" s="20" t="s">
        <v>225</v>
      </c>
      <c r="H292" s="20" t="s">
        <v>281</v>
      </c>
      <c r="I292" s="6" t="s">
        <v>27</v>
      </c>
      <c r="J292" s="6" t="s">
        <v>225</v>
      </c>
      <c r="K292" s="6" t="s">
        <v>416</v>
      </c>
      <c r="L292" s="6" t="s">
        <v>126</v>
      </c>
      <c r="M292" s="72" t="s">
        <v>159</v>
      </c>
      <c r="N292" s="72" t="s">
        <v>53</v>
      </c>
      <c r="O292" s="106" t="s">
        <v>417</v>
      </c>
      <c r="Q292" s="8"/>
      <c r="R292" s="8"/>
    </row>
    <row r="293" spans="1:18" x14ac:dyDescent="0.25">
      <c r="A293" s="81"/>
      <c r="B293" s="99"/>
      <c r="C293" s="96"/>
      <c r="D293" s="96"/>
      <c r="E293" s="96"/>
      <c r="F293" s="93"/>
      <c r="I293" t="s">
        <v>27</v>
      </c>
      <c r="J293" t="s">
        <v>281</v>
      </c>
      <c r="L293" t="s">
        <v>126</v>
      </c>
      <c r="M293" s="73"/>
      <c r="N293" s="73"/>
      <c r="O293" s="107"/>
    </row>
    <row r="294" spans="1:18" s="6" customFormat="1" x14ac:dyDescent="0.25">
      <c r="A294" s="80">
        <f>$A$2+81</f>
        <v>82</v>
      </c>
      <c r="B294" s="97">
        <v>17</v>
      </c>
      <c r="C294" s="94">
        <v>12</v>
      </c>
      <c r="D294" s="94">
        <v>1724</v>
      </c>
      <c r="E294" s="94">
        <v>338</v>
      </c>
      <c r="F294" s="91">
        <v>343</v>
      </c>
      <c r="G294" s="20" t="s">
        <v>17</v>
      </c>
      <c r="H294" s="20"/>
      <c r="I294" s="6" t="s">
        <v>103</v>
      </c>
      <c r="J294" s="6" t="s">
        <v>17</v>
      </c>
      <c r="M294" s="72" t="s">
        <v>426</v>
      </c>
      <c r="N294" s="72" t="s">
        <v>9</v>
      </c>
      <c r="O294" s="70" t="s">
        <v>423</v>
      </c>
      <c r="Q294" s="8"/>
      <c r="R294" s="8"/>
    </row>
    <row r="295" spans="1:18" x14ac:dyDescent="0.25">
      <c r="A295" s="87"/>
      <c r="B295" s="98"/>
      <c r="C295" s="95"/>
      <c r="D295" s="95"/>
      <c r="E295" s="95"/>
      <c r="F295" s="92"/>
      <c r="I295" t="s">
        <v>27</v>
      </c>
      <c r="J295" t="s">
        <v>418</v>
      </c>
      <c r="M295" s="83"/>
      <c r="N295" s="83"/>
      <c r="O295" s="82"/>
    </row>
    <row r="296" spans="1:18" x14ac:dyDescent="0.25">
      <c r="A296" s="87"/>
      <c r="B296" s="98"/>
      <c r="C296" s="95"/>
      <c r="D296" s="95"/>
      <c r="E296" s="95"/>
      <c r="F296" s="92"/>
      <c r="J296" t="s">
        <v>419</v>
      </c>
      <c r="M296" s="83"/>
      <c r="N296" s="83"/>
      <c r="O296" s="82"/>
    </row>
    <row r="297" spans="1:18" x14ac:dyDescent="0.25">
      <c r="A297" s="87"/>
      <c r="B297" s="98"/>
      <c r="C297" s="95"/>
      <c r="D297" s="95"/>
      <c r="E297" s="95"/>
      <c r="F297" s="92"/>
      <c r="J297" t="s">
        <v>420</v>
      </c>
      <c r="K297" t="s">
        <v>421</v>
      </c>
      <c r="M297" s="83"/>
      <c r="N297" s="83"/>
      <c r="O297" s="82"/>
    </row>
    <row r="298" spans="1:18" x14ac:dyDescent="0.25">
      <c r="A298" s="87"/>
      <c r="B298" s="98"/>
      <c r="C298" s="95"/>
      <c r="D298" s="95"/>
      <c r="E298" s="95"/>
      <c r="F298" s="92"/>
      <c r="J298" t="s">
        <v>162</v>
      </c>
      <c r="M298" s="83"/>
      <c r="N298" s="83"/>
      <c r="O298" s="82"/>
    </row>
    <row r="299" spans="1:18" x14ac:dyDescent="0.25">
      <c r="A299" s="81"/>
      <c r="B299" s="99"/>
      <c r="C299" s="96"/>
      <c r="D299" s="96"/>
      <c r="E299" s="96"/>
      <c r="F299" s="93"/>
      <c r="J299" t="s">
        <v>154</v>
      </c>
      <c r="L299" t="s">
        <v>422</v>
      </c>
      <c r="M299" s="73"/>
      <c r="N299" s="73"/>
      <c r="O299" s="71"/>
    </row>
    <row r="300" spans="1:18" s="6" customFormat="1" ht="15" customHeight="1" x14ac:dyDescent="0.25">
      <c r="A300" s="80">
        <f>$A$2+82</f>
        <v>83</v>
      </c>
      <c r="B300" s="97">
        <v>17</v>
      </c>
      <c r="C300" s="94">
        <v>12</v>
      </c>
      <c r="D300" s="94">
        <v>1724</v>
      </c>
      <c r="E300" s="94">
        <v>338</v>
      </c>
      <c r="F300" s="91">
        <v>343</v>
      </c>
      <c r="G300" s="20" t="s">
        <v>17</v>
      </c>
      <c r="H300" s="20" t="s">
        <v>162</v>
      </c>
      <c r="I300" s="6" t="s">
        <v>103</v>
      </c>
      <c r="J300" s="6" t="s">
        <v>17</v>
      </c>
      <c r="L300" s="6" t="s">
        <v>424</v>
      </c>
      <c r="M300" s="72" t="s">
        <v>426</v>
      </c>
      <c r="N300" s="72" t="s">
        <v>53</v>
      </c>
      <c r="O300" s="70" t="s">
        <v>427</v>
      </c>
      <c r="P300" s="6" t="s">
        <v>84</v>
      </c>
      <c r="Q300" s="8"/>
      <c r="R300" s="8"/>
    </row>
    <row r="301" spans="1:18" x14ac:dyDescent="0.25">
      <c r="A301" s="87"/>
      <c r="B301" s="98"/>
      <c r="C301" s="95"/>
      <c r="D301" s="95"/>
      <c r="E301" s="95"/>
      <c r="F301" s="92"/>
      <c r="G301" s="18" t="s">
        <v>420</v>
      </c>
      <c r="H301" s="18" t="s">
        <v>154</v>
      </c>
      <c r="I301" t="s">
        <v>29</v>
      </c>
      <c r="J301" t="s">
        <v>420</v>
      </c>
      <c r="M301" s="83"/>
      <c r="N301" s="83"/>
      <c r="O301" s="82"/>
    </row>
    <row r="302" spans="1:18" x14ac:dyDescent="0.25">
      <c r="A302" s="87"/>
      <c r="B302" s="98"/>
      <c r="C302" s="95"/>
      <c r="D302" s="95"/>
      <c r="E302" s="95"/>
      <c r="F302" s="92"/>
      <c r="I302" t="s">
        <v>31</v>
      </c>
      <c r="J302" t="s">
        <v>162</v>
      </c>
      <c r="M302" s="83"/>
      <c r="N302" s="83"/>
      <c r="O302" s="82"/>
    </row>
    <row r="303" spans="1:18" x14ac:dyDescent="0.25">
      <c r="A303" s="81"/>
      <c r="B303" s="99"/>
      <c r="C303" s="96"/>
      <c r="D303" s="96"/>
      <c r="E303" s="96"/>
      <c r="F303" s="93"/>
      <c r="J303" t="s">
        <v>154</v>
      </c>
      <c r="K303" t="s">
        <v>425</v>
      </c>
      <c r="L303" t="s">
        <v>422</v>
      </c>
      <c r="M303" s="73"/>
      <c r="N303" s="73"/>
      <c r="O303" s="71"/>
    </row>
    <row r="304" spans="1:18" s="6" customFormat="1" x14ac:dyDescent="0.25">
      <c r="A304" s="80">
        <f>$A$2+83</f>
        <v>84</v>
      </c>
      <c r="B304" s="97">
        <v>21</v>
      </c>
      <c r="C304" s="94">
        <v>12</v>
      </c>
      <c r="D304" s="94">
        <v>1724</v>
      </c>
      <c r="E304" s="94">
        <v>339</v>
      </c>
      <c r="F304" s="91">
        <v>344</v>
      </c>
      <c r="G304" s="20" t="s">
        <v>429</v>
      </c>
      <c r="H304" s="20" t="s">
        <v>431</v>
      </c>
      <c r="I304" s="6" t="s">
        <v>29</v>
      </c>
      <c r="J304" s="6" t="s">
        <v>429</v>
      </c>
      <c r="K304" s="6" t="s">
        <v>430</v>
      </c>
      <c r="L304" s="6" t="s">
        <v>399</v>
      </c>
      <c r="M304" s="72" t="s">
        <v>108</v>
      </c>
      <c r="N304" s="72" t="s">
        <v>177</v>
      </c>
      <c r="O304" s="70" t="s">
        <v>433</v>
      </c>
      <c r="Q304" s="8"/>
      <c r="R304" s="8"/>
    </row>
    <row r="305" spans="1:18" x14ac:dyDescent="0.25">
      <c r="A305" s="81"/>
      <c r="B305" s="99"/>
      <c r="C305" s="96"/>
      <c r="D305" s="96"/>
      <c r="E305" s="96"/>
      <c r="F305" s="93"/>
      <c r="I305" t="s">
        <v>29</v>
      </c>
      <c r="J305" t="s">
        <v>431</v>
      </c>
      <c r="L305" t="s">
        <v>435</v>
      </c>
      <c r="M305" s="73"/>
      <c r="N305" s="73"/>
      <c r="O305" s="71"/>
    </row>
    <row r="306" spans="1:18" s="6" customFormat="1" x14ac:dyDescent="0.25">
      <c r="A306" s="80">
        <f>$A$2+84</f>
        <v>85</v>
      </c>
      <c r="B306" s="97">
        <v>21</v>
      </c>
      <c r="C306" s="94">
        <v>12</v>
      </c>
      <c r="D306" s="94">
        <v>1724</v>
      </c>
      <c r="E306" s="94">
        <v>339</v>
      </c>
      <c r="F306" s="91">
        <v>344</v>
      </c>
      <c r="G306" s="20" t="s">
        <v>432</v>
      </c>
      <c r="H306" s="20" t="s">
        <v>431</v>
      </c>
      <c r="I306" s="6" t="s">
        <v>29</v>
      </c>
      <c r="J306" s="6" t="s">
        <v>432</v>
      </c>
      <c r="M306" s="72" t="s">
        <v>108</v>
      </c>
      <c r="N306" s="72" t="s">
        <v>177</v>
      </c>
      <c r="O306" s="106" t="s">
        <v>433</v>
      </c>
      <c r="Q306" s="8"/>
      <c r="R306" s="8"/>
    </row>
    <row r="307" spans="1:18" x14ac:dyDescent="0.25">
      <c r="A307" s="81"/>
      <c r="B307" s="99"/>
      <c r="C307" s="96"/>
      <c r="D307" s="96"/>
      <c r="E307" s="96"/>
      <c r="F307" s="93"/>
      <c r="I307" t="s">
        <v>29</v>
      </c>
      <c r="J307" t="s">
        <v>431</v>
      </c>
      <c r="M307" s="73"/>
      <c r="N307" s="73"/>
      <c r="O307" s="107"/>
    </row>
    <row r="308" spans="1:18" s="6" customFormat="1" ht="15" customHeight="1" x14ac:dyDescent="0.25">
      <c r="A308" s="80">
        <f>$A$2+85</f>
        <v>86</v>
      </c>
      <c r="B308" s="97">
        <v>21</v>
      </c>
      <c r="C308" s="94">
        <v>12</v>
      </c>
      <c r="D308" s="94">
        <v>1724</v>
      </c>
      <c r="E308" s="94">
        <v>340</v>
      </c>
      <c r="F308" s="91">
        <v>345</v>
      </c>
      <c r="G308" s="20" t="s">
        <v>434</v>
      </c>
      <c r="H308" s="20" t="s">
        <v>437</v>
      </c>
      <c r="I308" s="6" t="s">
        <v>29</v>
      </c>
      <c r="J308" s="6" t="s">
        <v>434</v>
      </c>
      <c r="L308" s="6" t="s">
        <v>436</v>
      </c>
      <c r="M308" s="72" t="s">
        <v>108</v>
      </c>
      <c r="N308" s="72" t="s">
        <v>177</v>
      </c>
      <c r="O308" s="70" t="s">
        <v>440</v>
      </c>
      <c r="Q308" s="8"/>
      <c r="R308" s="8"/>
    </row>
    <row r="309" spans="1:18" x14ac:dyDescent="0.25">
      <c r="A309" s="81"/>
      <c r="B309" s="99"/>
      <c r="C309" s="96"/>
      <c r="D309" s="96"/>
      <c r="E309" s="96"/>
      <c r="F309" s="93"/>
      <c r="I309" t="s">
        <v>29</v>
      </c>
      <c r="J309" t="s">
        <v>437</v>
      </c>
      <c r="K309" t="s">
        <v>438</v>
      </c>
      <c r="L309" t="s">
        <v>439</v>
      </c>
      <c r="M309" s="73"/>
      <c r="N309" s="73"/>
      <c r="O309" s="71"/>
    </row>
    <row r="310" spans="1:18" s="6" customFormat="1" ht="15" customHeight="1" x14ac:dyDescent="0.25">
      <c r="A310" s="80">
        <f>$A$2+86</f>
        <v>87</v>
      </c>
      <c r="B310" s="97">
        <v>29</v>
      </c>
      <c r="C310" s="94">
        <v>12</v>
      </c>
      <c r="D310" s="94">
        <v>1724</v>
      </c>
      <c r="E310" s="94">
        <v>340</v>
      </c>
      <c r="F310" s="91">
        <v>345</v>
      </c>
      <c r="G310" s="20" t="s">
        <v>123</v>
      </c>
      <c r="H310" s="20" t="s">
        <v>331</v>
      </c>
      <c r="I310" s="6" t="s">
        <v>27</v>
      </c>
      <c r="J310" s="6" t="s">
        <v>123</v>
      </c>
      <c r="K310" s="6" t="s">
        <v>446</v>
      </c>
      <c r="L310" s="6" t="s">
        <v>444</v>
      </c>
      <c r="M310" s="72" t="s">
        <v>159</v>
      </c>
      <c r="N310" s="72" t="s">
        <v>177</v>
      </c>
      <c r="O310" s="70" t="s">
        <v>445</v>
      </c>
      <c r="Q310" s="8"/>
      <c r="R310" s="8"/>
    </row>
    <row r="311" spans="1:18" x14ac:dyDescent="0.25">
      <c r="A311" s="87"/>
      <c r="B311" s="98"/>
      <c r="C311" s="95"/>
      <c r="D311" s="95"/>
      <c r="E311" s="95"/>
      <c r="F311" s="92"/>
      <c r="H311" s="18" t="s">
        <v>442</v>
      </c>
      <c r="I311" t="s">
        <v>103</v>
      </c>
      <c r="J311" t="s">
        <v>331</v>
      </c>
      <c r="K311" t="s">
        <v>441</v>
      </c>
      <c r="M311" s="83"/>
      <c r="N311" s="83"/>
      <c r="O311" s="82"/>
    </row>
    <row r="312" spans="1:18" x14ac:dyDescent="0.25">
      <c r="A312" s="81"/>
      <c r="B312" s="99"/>
      <c r="C312" s="96"/>
      <c r="D312" s="96"/>
      <c r="E312" s="96"/>
      <c r="F312" s="93"/>
      <c r="J312" t="s">
        <v>442</v>
      </c>
      <c r="L312" t="s">
        <v>443</v>
      </c>
      <c r="M312" s="73"/>
      <c r="N312" s="73"/>
      <c r="O312" s="71"/>
    </row>
    <row r="313" spans="1:18" s="6" customFormat="1" x14ac:dyDescent="0.25">
      <c r="A313" s="80">
        <f>$A$2+87</f>
        <v>88</v>
      </c>
      <c r="B313" s="97">
        <v>30</v>
      </c>
      <c r="C313" s="94">
        <v>12</v>
      </c>
      <c r="D313" s="94">
        <v>1724</v>
      </c>
      <c r="E313" s="94">
        <v>340</v>
      </c>
      <c r="F313" s="91">
        <v>345</v>
      </c>
      <c r="G313" s="20" t="s">
        <v>447</v>
      </c>
      <c r="H313" s="20" t="s">
        <v>17</v>
      </c>
      <c r="I313" s="6" t="s">
        <v>27</v>
      </c>
      <c r="J313" s="6" t="s">
        <v>447</v>
      </c>
      <c r="M313" s="72" t="s">
        <v>108</v>
      </c>
      <c r="N313" s="72" t="s">
        <v>177</v>
      </c>
      <c r="O313" s="70" t="s">
        <v>448</v>
      </c>
      <c r="Q313" s="8"/>
      <c r="R313" s="8"/>
    </row>
    <row r="314" spans="1:18" x14ac:dyDescent="0.25">
      <c r="A314" s="87"/>
      <c r="B314" s="98"/>
      <c r="C314" s="95"/>
      <c r="D314" s="95"/>
      <c r="E314" s="95"/>
      <c r="F314" s="92"/>
      <c r="I314" t="s">
        <v>103</v>
      </c>
      <c r="J314" t="s">
        <v>17</v>
      </c>
      <c r="M314" s="83"/>
      <c r="N314" s="83"/>
      <c r="O314" s="82"/>
    </row>
    <row r="315" spans="1:18" x14ac:dyDescent="0.25">
      <c r="A315" s="87"/>
      <c r="B315" s="98"/>
      <c r="C315" s="95"/>
      <c r="D315" s="95"/>
      <c r="E315" s="95"/>
      <c r="F315" s="92"/>
      <c r="J315" t="s">
        <v>449</v>
      </c>
      <c r="L315" t="s">
        <v>450</v>
      </c>
      <c r="M315" s="83"/>
      <c r="N315" s="83"/>
      <c r="O315" s="82"/>
    </row>
    <row r="316" spans="1:18" x14ac:dyDescent="0.25">
      <c r="A316" s="87"/>
      <c r="B316" s="98"/>
      <c r="C316" s="95"/>
      <c r="D316" s="95"/>
      <c r="E316" s="95"/>
      <c r="F316" s="92"/>
      <c r="J316" t="s">
        <v>452</v>
      </c>
      <c r="M316" s="83"/>
      <c r="N316" s="83"/>
      <c r="O316" s="82"/>
    </row>
    <row r="317" spans="1:18" x14ac:dyDescent="0.25">
      <c r="A317" s="81"/>
      <c r="B317" s="99"/>
      <c r="C317" s="96"/>
      <c r="D317" s="96"/>
      <c r="E317" s="96"/>
      <c r="F317" s="93"/>
      <c r="J317" t="s">
        <v>451</v>
      </c>
      <c r="M317" s="73"/>
      <c r="N317" s="73"/>
      <c r="O317" s="71"/>
    </row>
    <row r="318" spans="1:18" s="6" customFormat="1" x14ac:dyDescent="0.25">
      <c r="A318" s="80">
        <f>$A$2+88</f>
        <v>89</v>
      </c>
      <c r="B318" s="97">
        <v>30</v>
      </c>
      <c r="C318" s="94">
        <v>12</v>
      </c>
      <c r="D318" s="94">
        <v>1724</v>
      </c>
      <c r="E318" s="94">
        <v>341</v>
      </c>
      <c r="F318" s="91">
        <v>346</v>
      </c>
      <c r="G318" s="20" t="s">
        <v>453</v>
      </c>
      <c r="H318" s="20"/>
      <c r="I318" s="6" t="s">
        <v>29</v>
      </c>
      <c r="J318" s="6" t="s">
        <v>453</v>
      </c>
      <c r="L318" s="6" t="s">
        <v>454</v>
      </c>
      <c r="M318" s="72" t="s">
        <v>455</v>
      </c>
      <c r="N318" s="72" t="s">
        <v>9</v>
      </c>
      <c r="O318" s="70" t="s">
        <v>456</v>
      </c>
      <c r="Q318" s="8"/>
      <c r="R318" s="8"/>
    </row>
    <row r="319" spans="1:18" x14ac:dyDescent="0.25">
      <c r="A319" s="87"/>
      <c r="B319" s="98"/>
      <c r="C319" s="95"/>
      <c r="D319" s="95"/>
      <c r="E319" s="95"/>
      <c r="F319" s="92"/>
      <c r="J319" t="s">
        <v>214</v>
      </c>
      <c r="M319" s="83"/>
      <c r="N319" s="83"/>
      <c r="O319" s="82"/>
    </row>
    <row r="320" spans="1:18" x14ac:dyDescent="0.25">
      <c r="A320" s="87"/>
      <c r="B320" s="98"/>
      <c r="C320" s="95"/>
      <c r="D320" s="95"/>
      <c r="E320" s="95"/>
      <c r="F320" s="92"/>
      <c r="J320" t="s">
        <v>59</v>
      </c>
      <c r="M320" s="83"/>
      <c r="N320" s="83"/>
      <c r="O320" s="82"/>
    </row>
    <row r="321" spans="1:18" x14ac:dyDescent="0.25">
      <c r="A321" s="81"/>
      <c r="B321" s="99"/>
      <c r="C321" s="96"/>
      <c r="D321" s="96"/>
      <c r="E321" s="96"/>
      <c r="F321" s="93"/>
      <c r="J321" t="s">
        <v>351</v>
      </c>
      <c r="M321" s="73"/>
      <c r="N321" s="73"/>
      <c r="O321" s="71"/>
    </row>
    <row r="322" spans="1:18" s="6" customFormat="1" x14ac:dyDescent="0.25">
      <c r="A322" s="80">
        <f>$A$2+89</f>
        <v>90</v>
      </c>
      <c r="B322" s="97">
        <v>3</v>
      </c>
      <c r="C322" s="94">
        <v>1</v>
      </c>
      <c r="D322" s="94">
        <v>1725</v>
      </c>
      <c r="E322" s="94">
        <v>341</v>
      </c>
      <c r="F322" s="91">
        <v>346</v>
      </c>
      <c r="G322" s="20" t="s">
        <v>457</v>
      </c>
      <c r="H322" s="20" t="s">
        <v>17</v>
      </c>
      <c r="I322" s="6" t="s">
        <v>27</v>
      </c>
      <c r="J322" s="6" t="s">
        <v>457</v>
      </c>
      <c r="L322" s="10" t="s">
        <v>462</v>
      </c>
      <c r="M322" s="72" t="s">
        <v>13</v>
      </c>
      <c r="N322" s="72" t="s">
        <v>20</v>
      </c>
      <c r="O322" s="70" t="s">
        <v>465</v>
      </c>
      <c r="P322" s="6" t="s">
        <v>463</v>
      </c>
      <c r="Q322" s="8"/>
      <c r="R322" s="8"/>
    </row>
    <row r="323" spans="1:18" x14ac:dyDescent="0.25">
      <c r="A323" s="87"/>
      <c r="B323" s="98"/>
      <c r="C323" s="95"/>
      <c r="D323" s="95"/>
      <c r="E323" s="95"/>
      <c r="F323" s="92"/>
      <c r="I323" t="s">
        <v>103</v>
      </c>
      <c r="J323" t="s">
        <v>17</v>
      </c>
      <c r="M323" s="83"/>
      <c r="N323" s="83"/>
      <c r="O323" s="82"/>
    </row>
    <row r="324" spans="1:18" x14ac:dyDescent="0.25">
      <c r="A324" s="87"/>
      <c r="B324" s="98"/>
      <c r="C324" s="95"/>
      <c r="D324" s="95"/>
      <c r="E324" s="95"/>
      <c r="F324" s="92"/>
      <c r="J324" t="s">
        <v>458</v>
      </c>
      <c r="K324" t="s">
        <v>459</v>
      </c>
      <c r="L324" t="s">
        <v>461</v>
      </c>
      <c r="M324" s="83"/>
      <c r="N324" s="83"/>
      <c r="O324" s="82"/>
    </row>
    <row r="325" spans="1:18" x14ac:dyDescent="0.25">
      <c r="A325" s="87"/>
      <c r="B325" s="98"/>
      <c r="C325" s="95"/>
      <c r="D325" s="95"/>
      <c r="E325" s="95"/>
      <c r="F325" s="92"/>
      <c r="I325" t="s">
        <v>103</v>
      </c>
      <c r="J325" t="s">
        <v>186</v>
      </c>
      <c r="K325" t="s">
        <v>460</v>
      </c>
      <c r="M325" s="83"/>
      <c r="N325" s="83"/>
      <c r="O325" s="82"/>
    </row>
    <row r="326" spans="1:18" x14ac:dyDescent="0.25">
      <c r="A326" s="81"/>
      <c r="B326" s="99"/>
      <c r="C326" s="96"/>
      <c r="D326" s="96"/>
      <c r="E326" s="96"/>
      <c r="F326" s="93"/>
      <c r="J326" t="s">
        <v>458</v>
      </c>
      <c r="K326" t="s">
        <v>464</v>
      </c>
      <c r="M326" s="73"/>
      <c r="N326" s="73"/>
      <c r="O326" s="71"/>
    </row>
    <row r="327" spans="1:18" s="6" customFormat="1" x14ac:dyDescent="0.25">
      <c r="A327" s="80">
        <f>$A$2+90</f>
        <v>91</v>
      </c>
      <c r="B327" s="97">
        <v>9</v>
      </c>
      <c r="C327" s="94">
        <v>1</v>
      </c>
      <c r="D327" s="94">
        <v>1725</v>
      </c>
      <c r="E327" s="94">
        <v>342</v>
      </c>
      <c r="F327" s="91">
        <v>347</v>
      </c>
      <c r="G327" s="20" t="s">
        <v>473</v>
      </c>
      <c r="H327" s="20" t="s">
        <v>470</v>
      </c>
      <c r="I327" s="6" t="s">
        <v>339</v>
      </c>
      <c r="J327" s="6" t="s">
        <v>467</v>
      </c>
      <c r="M327" s="72" t="s">
        <v>469</v>
      </c>
      <c r="N327" s="72" t="s">
        <v>468</v>
      </c>
      <c r="O327" s="70" t="s">
        <v>471</v>
      </c>
      <c r="Q327" s="8"/>
      <c r="R327" s="8"/>
    </row>
    <row r="328" spans="1:18" x14ac:dyDescent="0.25">
      <c r="A328" s="87"/>
      <c r="B328" s="98"/>
      <c r="C328" s="95"/>
      <c r="D328" s="95"/>
      <c r="E328" s="95"/>
      <c r="F328" s="92"/>
      <c r="J328" t="s">
        <v>466</v>
      </c>
      <c r="M328" s="83"/>
      <c r="N328" s="83"/>
      <c r="O328" s="82"/>
    </row>
    <row r="329" spans="1:18" x14ac:dyDescent="0.25">
      <c r="A329" s="87"/>
      <c r="B329" s="98"/>
      <c r="C329" s="95"/>
      <c r="D329" s="95"/>
      <c r="E329" s="95"/>
      <c r="F329" s="92"/>
      <c r="J329" t="s">
        <v>472</v>
      </c>
      <c r="M329" s="83"/>
      <c r="N329" s="83"/>
      <c r="O329" s="82"/>
    </row>
    <row r="330" spans="1:18" x14ac:dyDescent="0.25">
      <c r="A330" s="81"/>
      <c r="B330" s="99"/>
      <c r="C330" s="96"/>
      <c r="D330" s="96"/>
      <c r="E330" s="96"/>
      <c r="F330" s="93"/>
      <c r="J330" t="s">
        <v>470</v>
      </c>
      <c r="M330" s="73"/>
      <c r="N330" s="73"/>
      <c r="O330" s="71"/>
    </row>
    <row r="331" spans="1:18" s="6" customFormat="1" x14ac:dyDescent="0.25">
      <c r="A331" s="80">
        <f>$A$2+91</f>
        <v>92</v>
      </c>
      <c r="B331" s="97">
        <v>12</v>
      </c>
      <c r="C331" s="94">
        <v>1</v>
      </c>
      <c r="D331" s="94">
        <v>1725</v>
      </c>
      <c r="E331" s="94">
        <v>343</v>
      </c>
      <c r="F331" s="91">
        <v>348</v>
      </c>
      <c r="G331" s="20"/>
      <c r="H331" s="20"/>
      <c r="J331" s="6" t="s">
        <v>185</v>
      </c>
      <c r="K331" s="6" t="s">
        <v>474</v>
      </c>
      <c r="L331" s="6" t="s">
        <v>187</v>
      </c>
      <c r="M331" s="72" t="s">
        <v>477</v>
      </c>
      <c r="N331" s="72" t="s">
        <v>476</v>
      </c>
      <c r="O331" s="70" t="s">
        <v>488</v>
      </c>
      <c r="Q331" s="8"/>
      <c r="R331" s="8"/>
    </row>
    <row r="332" spans="1:18" x14ac:dyDescent="0.25">
      <c r="A332" s="87"/>
      <c r="B332" s="98"/>
      <c r="C332" s="95"/>
      <c r="D332" s="95"/>
      <c r="E332" s="95"/>
      <c r="F332" s="92"/>
      <c r="J332" t="s">
        <v>184</v>
      </c>
      <c r="K332" t="s">
        <v>475</v>
      </c>
      <c r="L332" t="s">
        <v>187</v>
      </c>
      <c r="M332" s="83"/>
      <c r="N332" s="83"/>
      <c r="O332" s="82"/>
    </row>
    <row r="333" spans="1:18" x14ac:dyDescent="0.25">
      <c r="A333" s="87"/>
      <c r="B333" s="98"/>
      <c r="C333" s="95"/>
      <c r="D333" s="95"/>
      <c r="E333" s="95"/>
      <c r="F333" s="92"/>
      <c r="I333" t="s">
        <v>103</v>
      </c>
      <c r="J333" t="s">
        <v>186</v>
      </c>
      <c r="K333" t="s">
        <v>460</v>
      </c>
      <c r="M333" s="83"/>
      <c r="N333" s="83"/>
      <c r="O333" s="82"/>
    </row>
    <row r="334" spans="1:18" x14ac:dyDescent="0.25">
      <c r="A334" s="87"/>
      <c r="B334" s="98"/>
      <c r="C334" s="95"/>
      <c r="D334" s="95"/>
      <c r="E334" s="95"/>
      <c r="F334" s="92"/>
      <c r="I334" t="s">
        <v>103</v>
      </c>
      <c r="J334" t="s">
        <v>478</v>
      </c>
      <c r="K334" t="s">
        <v>479</v>
      </c>
      <c r="M334" s="83"/>
      <c r="N334" s="83"/>
      <c r="O334" s="82"/>
    </row>
    <row r="335" spans="1:18" x14ac:dyDescent="0.25">
      <c r="A335" s="87"/>
      <c r="B335" s="98"/>
      <c r="C335" s="95"/>
      <c r="D335" s="95"/>
      <c r="E335" s="95"/>
      <c r="F335" s="92"/>
      <c r="J335" t="s">
        <v>480</v>
      </c>
      <c r="K335" t="s">
        <v>479</v>
      </c>
      <c r="M335" s="83"/>
      <c r="N335" s="83"/>
      <c r="O335" s="82"/>
    </row>
    <row r="336" spans="1:18" x14ac:dyDescent="0.25">
      <c r="A336" s="87"/>
      <c r="B336" s="98"/>
      <c r="C336" s="95"/>
      <c r="D336" s="95"/>
      <c r="E336" s="95"/>
      <c r="F336" s="92"/>
      <c r="I336" t="s">
        <v>103</v>
      </c>
      <c r="J336" t="s">
        <v>481</v>
      </c>
      <c r="K336" t="s">
        <v>479</v>
      </c>
      <c r="L336" t="s">
        <v>483</v>
      </c>
      <c r="M336" s="83"/>
      <c r="N336" s="83"/>
      <c r="O336" s="82"/>
    </row>
    <row r="337" spans="1:18" x14ac:dyDescent="0.25">
      <c r="A337" s="87"/>
      <c r="B337" s="98"/>
      <c r="C337" s="95"/>
      <c r="D337" s="95"/>
      <c r="E337" s="95"/>
      <c r="F337" s="92"/>
      <c r="I337" t="s">
        <v>103</v>
      </c>
      <c r="J337" t="s">
        <v>482</v>
      </c>
      <c r="K337" t="s">
        <v>479</v>
      </c>
      <c r="L337" t="s">
        <v>483</v>
      </c>
      <c r="M337" s="83"/>
      <c r="N337" s="83"/>
      <c r="O337" s="82"/>
    </row>
    <row r="338" spans="1:18" x14ac:dyDescent="0.25">
      <c r="A338" s="87"/>
      <c r="B338" s="98"/>
      <c r="C338" s="95"/>
      <c r="D338" s="95"/>
      <c r="E338" s="95"/>
      <c r="F338" s="92"/>
      <c r="I338" t="s">
        <v>103</v>
      </c>
      <c r="J338" t="s">
        <v>17</v>
      </c>
      <c r="K338" t="s">
        <v>485</v>
      </c>
      <c r="M338" s="83"/>
      <c r="N338" s="83"/>
      <c r="O338" s="82"/>
    </row>
    <row r="339" spans="1:18" x14ac:dyDescent="0.25">
      <c r="A339" s="87"/>
      <c r="B339" s="98"/>
      <c r="C339" s="95"/>
      <c r="D339" s="95"/>
      <c r="E339" s="95"/>
      <c r="F339" s="92"/>
      <c r="I339" t="s">
        <v>103</v>
      </c>
      <c r="J339" t="s">
        <v>484</v>
      </c>
      <c r="K339" t="s">
        <v>485</v>
      </c>
      <c r="M339" s="83"/>
      <c r="N339" s="83"/>
      <c r="O339" s="82"/>
    </row>
    <row r="340" spans="1:18" x14ac:dyDescent="0.25">
      <c r="A340" s="87"/>
      <c r="B340" s="98"/>
      <c r="C340" s="95"/>
      <c r="D340" s="95"/>
      <c r="E340" s="95"/>
      <c r="F340" s="92"/>
      <c r="J340" t="s">
        <v>329</v>
      </c>
      <c r="K340" t="s">
        <v>487</v>
      </c>
      <c r="L340" t="s">
        <v>483</v>
      </c>
      <c r="M340" s="83"/>
      <c r="N340" s="83"/>
      <c r="O340" s="82"/>
    </row>
    <row r="341" spans="1:18" x14ac:dyDescent="0.25">
      <c r="A341" s="81"/>
      <c r="B341" s="99"/>
      <c r="C341" s="96"/>
      <c r="D341" s="96"/>
      <c r="E341" s="96"/>
      <c r="F341" s="93"/>
      <c r="J341" t="s">
        <v>486</v>
      </c>
      <c r="K341" t="s">
        <v>487</v>
      </c>
      <c r="L341" t="s">
        <v>483</v>
      </c>
      <c r="M341" s="73"/>
      <c r="N341" s="73"/>
      <c r="O341" s="71"/>
    </row>
    <row r="342" spans="1:18" s="6" customFormat="1" x14ac:dyDescent="0.25">
      <c r="A342" s="80">
        <f>$A$2+92</f>
        <v>93</v>
      </c>
      <c r="B342" s="97">
        <v>12</v>
      </c>
      <c r="C342" s="94">
        <v>1</v>
      </c>
      <c r="D342" s="94">
        <v>1725</v>
      </c>
      <c r="E342" s="94">
        <v>344</v>
      </c>
      <c r="F342" s="91">
        <v>349</v>
      </c>
      <c r="G342" s="20"/>
      <c r="H342" s="20"/>
      <c r="J342" s="6" t="s">
        <v>268</v>
      </c>
      <c r="L342" s="6" t="s">
        <v>187</v>
      </c>
      <c r="M342" s="72" t="s">
        <v>490</v>
      </c>
      <c r="N342" s="72" t="s">
        <v>491</v>
      </c>
      <c r="O342" s="70" t="s">
        <v>489</v>
      </c>
      <c r="Q342" s="8"/>
      <c r="R342" s="8"/>
    </row>
    <row r="343" spans="1:18" x14ac:dyDescent="0.25">
      <c r="A343" s="81"/>
      <c r="B343" s="99"/>
      <c r="C343" s="96"/>
      <c r="D343" s="96"/>
      <c r="E343" s="96"/>
      <c r="F343" s="93"/>
      <c r="J343" t="s">
        <v>492</v>
      </c>
      <c r="L343" t="s">
        <v>187</v>
      </c>
      <c r="M343" s="73"/>
      <c r="N343" s="73"/>
      <c r="O343" s="71"/>
    </row>
    <row r="344" spans="1:18" s="6" customFormat="1" x14ac:dyDescent="0.25">
      <c r="A344" s="80">
        <f>$A$2+93</f>
        <v>94</v>
      </c>
      <c r="B344" s="97">
        <v>13</v>
      </c>
      <c r="C344" s="94">
        <v>1</v>
      </c>
      <c r="D344" s="94">
        <v>1725</v>
      </c>
      <c r="E344" s="94">
        <v>345</v>
      </c>
      <c r="F344" s="91">
        <v>350</v>
      </c>
      <c r="G344" s="20"/>
      <c r="H344" s="20"/>
      <c r="J344" s="6" t="s">
        <v>493</v>
      </c>
      <c r="M344" s="72"/>
      <c r="N344" s="72" t="s">
        <v>344</v>
      </c>
      <c r="O344" s="70"/>
      <c r="Q344" s="8"/>
      <c r="R344" s="8"/>
    </row>
    <row r="345" spans="1:18" x14ac:dyDescent="0.25">
      <c r="A345" s="81"/>
      <c r="B345" s="99"/>
      <c r="C345" s="96"/>
      <c r="D345" s="96"/>
      <c r="E345" s="96"/>
      <c r="F345" s="93"/>
      <c r="I345" t="s">
        <v>27</v>
      </c>
      <c r="J345" t="s">
        <v>494</v>
      </c>
      <c r="M345" s="73"/>
      <c r="N345" s="73"/>
      <c r="O345" s="71"/>
    </row>
    <row r="346" spans="1:18" s="6" customFormat="1" x14ac:dyDescent="0.25">
      <c r="A346" s="80">
        <f>$A$2+94</f>
        <v>95</v>
      </c>
      <c r="B346" s="97">
        <v>15</v>
      </c>
      <c r="C346" s="94">
        <v>1</v>
      </c>
      <c r="D346" s="94">
        <v>1725</v>
      </c>
      <c r="E346" s="94">
        <v>345</v>
      </c>
      <c r="F346" s="91">
        <v>350</v>
      </c>
      <c r="G346" s="20" t="s">
        <v>398</v>
      </c>
      <c r="H346" s="20" t="s">
        <v>400</v>
      </c>
      <c r="I346" s="6" t="s">
        <v>29</v>
      </c>
      <c r="J346" s="6" t="s">
        <v>398</v>
      </c>
      <c r="L346" s="6" t="s">
        <v>495</v>
      </c>
      <c r="M346" s="72" t="s">
        <v>206</v>
      </c>
      <c r="N346" s="72" t="s">
        <v>53</v>
      </c>
      <c r="O346" s="70" t="s">
        <v>499</v>
      </c>
      <c r="Q346" s="8"/>
      <c r="R346" s="8"/>
    </row>
    <row r="347" spans="1:18" x14ac:dyDescent="0.25">
      <c r="A347" s="87"/>
      <c r="B347" s="98"/>
      <c r="C347" s="95"/>
      <c r="D347" s="95"/>
      <c r="E347" s="95"/>
      <c r="F347" s="92"/>
      <c r="J347" t="s">
        <v>496</v>
      </c>
      <c r="M347" s="83"/>
      <c r="N347" s="83"/>
      <c r="O347" s="82"/>
    </row>
    <row r="348" spans="1:18" x14ac:dyDescent="0.25">
      <c r="A348" s="87"/>
      <c r="B348" s="98"/>
      <c r="C348" s="95"/>
      <c r="D348" s="95"/>
      <c r="E348" s="95"/>
      <c r="F348" s="92"/>
      <c r="J348" t="s">
        <v>400</v>
      </c>
      <c r="M348" s="83"/>
      <c r="N348" s="83"/>
      <c r="O348" s="82"/>
    </row>
    <row r="349" spans="1:18" x14ac:dyDescent="0.25">
      <c r="A349" s="81"/>
      <c r="B349" s="99"/>
      <c r="C349" s="96"/>
      <c r="D349" s="96"/>
      <c r="E349" s="96"/>
      <c r="F349" s="93"/>
      <c r="J349" t="s">
        <v>497</v>
      </c>
      <c r="L349" t="s">
        <v>498</v>
      </c>
      <c r="M349" s="73"/>
      <c r="N349" s="73"/>
      <c r="O349" s="71"/>
    </row>
    <row r="350" spans="1:18" s="6" customFormat="1" x14ac:dyDescent="0.25">
      <c r="A350" s="80">
        <f>$A$2+95</f>
        <v>96</v>
      </c>
      <c r="B350" s="97">
        <v>15</v>
      </c>
      <c r="C350" s="94">
        <v>1</v>
      </c>
      <c r="D350" s="94">
        <v>1725</v>
      </c>
      <c r="E350" s="94">
        <v>346</v>
      </c>
      <c r="F350" s="91">
        <v>351</v>
      </c>
      <c r="G350" s="20"/>
      <c r="H350" s="20"/>
      <c r="I350" s="6" t="s">
        <v>27</v>
      </c>
      <c r="J350" s="6" t="s">
        <v>73</v>
      </c>
      <c r="K350" s="6" t="s">
        <v>500</v>
      </c>
      <c r="M350" s="72" t="s">
        <v>523</v>
      </c>
      <c r="N350" s="72" t="s">
        <v>506</v>
      </c>
      <c r="O350" s="70"/>
      <c r="Q350" s="8"/>
      <c r="R350" s="8"/>
    </row>
    <row r="351" spans="1:18" x14ac:dyDescent="0.25">
      <c r="A351" s="87"/>
      <c r="B351" s="98"/>
      <c r="C351" s="95"/>
      <c r="D351" s="95"/>
      <c r="E351" s="95"/>
      <c r="F351" s="92"/>
      <c r="I351" t="s">
        <v>27</v>
      </c>
      <c r="J351" t="s">
        <v>36</v>
      </c>
      <c r="K351" t="s">
        <v>501</v>
      </c>
      <c r="M351" s="83"/>
      <c r="N351" s="83"/>
      <c r="O351" s="82"/>
    </row>
    <row r="352" spans="1:18" x14ac:dyDescent="0.25">
      <c r="A352" s="87"/>
      <c r="B352" s="98"/>
      <c r="C352" s="95"/>
      <c r="D352" s="95"/>
      <c r="E352" s="95"/>
      <c r="F352" s="92"/>
      <c r="I352" t="s">
        <v>103</v>
      </c>
      <c r="J352" t="s">
        <v>331</v>
      </c>
      <c r="K352" t="s">
        <v>500</v>
      </c>
      <c r="L352" t="s">
        <v>502</v>
      </c>
      <c r="M352" s="83"/>
      <c r="N352" s="83"/>
      <c r="O352" s="82"/>
    </row>
    <row r="353" spans="1:18" x14ac:dyDescent="0.25">
      <c r="A353" s="87"/>
      <c r="B353" s="98"/>
      <c r="C353" s="95"/>
      <c r="D353" s="95"/>
      <c r="E353" s="95"/>
      <c r="F353" s="92"/>
      <c r="I353" t="s">
        <v>103</v>
      </c>
      <c r="J353" t="s">
        <v>504</v>
      </c>
      <c r="K353" t="s">
        <v>503</v>
      </c>
      <c r="L353" t="s">
        <v>505</v>
      </c>
      <c r="M353" s="83"/>
      <c r="N353" s="83"/>
      <c r="O353" s="82"/>
    </row>
    <row r="354" spans="1:18" x14ac:dyDescent="0.25">
      <c r="A354" s="87"/>
      <c r="B354" s="98"/>
      <c r="C354" s="95"/>
      <c r="D354" s="95"/>
      <c r="E354" s="95"/>
      <c r="F354" s="92"/>
      <c r="I354" t="s">
        <v>27</v>
      </c>
      <c r="J354" t="s">
        <v>507</v>
      </c>
      <c r="K354" t="s">
        <v>508</v>
      </c>
      <c r="M354" s="83"/>
      <c r="N354" s="83"/>
      <c r="O354" s="82"/>
    </row>
    <row r="355" spans="1:18" x14ac:dyDescent="0.25">
      <c r="A355" s="87"/>
      <c r="B355" s="98"/>
      <c r="C355" s="95"/>
      <c r="D355" s="95"/>
      <c r="E355" s="95"/>
      <c r="F355" s="92"/>
      <c r="I355" t="s">
        <v>27</v>
      </c>
      <c r="J355" t="s">
        <v>509</v>
      </c>
      <c r="K355" t="s">
        <v>503</v>
      </c>
      <c r="L355" t="s">
        <v>510</v>
      </c>
      <c r="M355" s="83"/>
      <c r="N355" s="83"/>
      <c r="O355" s="82"/>
    </row>
    <row r="356" spans="1:18" x14ac:dyDescent="0.25">
      <c r="A356" s="87"/>
      <c r="B356" s="98"/>
      <c r="C356" s="95"/>
      <c r="D356" s="95"/>
      <c r="E356" s="95"/>
      <c r="F356" s="92"/>
      <c r="I356" t="s">
        <v>27</v>
      </c>
      <c r="J356" t="s">
        <v>511</v>
      </c>
      <c r="K356" t="s">
        <v>512</v>
      </c>
      <c r="M356" s="83"/>
      <c r="N356" s="83"/>
      <c r="O356" s="82"/>
    </row>
    <row r="357" spans="1:18" x14ac:dyDescent="0.25">
      <c r="A357" s="87"/>
      <c r="B357" s="98"/>
      <c r="C357" s="95"/>
      <c r="D357" s="95"/>
      <c r="E357" s="95"/>
      <c r="F357" s="92"/>
      <c r="I357" t="s">
        <v>27</v>
      </c>
      <c r="J357" t="s">
        <v>513</v>
      </c>
      <c r="K357" t="s">
        <v>514</v>
      </c>
      <c r="M357" s="83"/>
      <c r="N357" s="83"/>
      <c r="O357" s="82"/>
    </row>
    <row r="358" spans="1:18" x14ac:dyDescent="0.25">
      <c r="A358" s="87"/>
      <c r="B358" s="98"/>
      <c r="C358" s="95"/>
      <c r="D358" s="95"/>
      <c r="E358" s="95"/>
      <c r="F358" s="92"/>
      <c r="I358" t="s">
        <v>27</v>
      </c>
      <c r="J358" t="s">
        <v>457</v>
      </c>
      <c r="K358" t="s">
        <v>515</v>
      </c>
      <c r="M358" s="83"/>
      <c r="N358" s="83"/>
      <c r="O358" s="82"/>
    </row>
    <row r="359" spans="1:18" x14ac:dyDescent="0.25">
      <c r="A359" s="87"/>
      <c r="B359" s="98"/>
      <c r="C359" s="95"/>
      <c r="D359" s="95"/>
      <c r="E359" s="95"/>
      <c r="F359" s="92"/>
      <c r="I359" t="s">
        <v>27</v>
      </c>
      <c r="J359" t="s">
        <v>516</v>
      </c>
      <c r="K359" t="s">
        <v>514</v>
      </c>
      <c r="M359" s="83"/>
      <c r="N359" s="83"/>
      <c r="O359" s="82"/>
    </row>
    <row r="360" spans="1:18" x14ac:dyDescent="0.25">
      <c r="A360" s="87"/>
      <c r="B360" s="98"/>
      <c r="C360" s="95"/>
      <c r="D360" s="95"/>
      <c r="E360" s="95"/>
      <c r="F360" s="92"/>
      <c r="I360" t="s">
        <v>27</v>
      </c>
      <c r="J360" t="s">
        <v>245</v>
      </c>
      <c r="K360" t="s">
        <v>517</v>
      </c>
      <c r="M360" s="83"/>
      <c r="N360" s="83"/>
      <c r="O360" s="82"/>
    </row>
    <row r="361" spans="1:18" x14ac:dyDescent="0.25">
      <c r="A361" s="87"/>
      <c r="B361" s="98"/>
      <c r="C361" s="95"/>
      <c r="D361" s="95"/>
      <c r="E361" s="95"/>
      <c r="F361" s="92"/>
      <c r="I361" t="s">
        <v>27</v>
      </c>
      <c r="J361" t="s">
        <v>249</v>
      </c>
      <c r="K361" t="s">
        <v>518</v>
      </c>
      <c r="M361" s="83"/>
      <c r="N361" s="83"/>
      <c r="O361" s="82"/>
    </row>
    <row r="362" spans="1:18" x14ac:dyDescent="0.25">
      <c r="A362" s="87"/>
      <c r="B362" s="98"/>
      <c r="C362" s="95"/>
      <c r="D362" s="95"/>
      <c r="E362" s="95"/>
      <c r="F362" s="92"/>
      <c r="I362" t="s">
        <v>103</v>
      </c>
      <c r="J362" t="s">
        <v>519</v>
      </c>
      <c r="K362" t="s">
        <v>520</v>
      </c>
      <c r="M362" s="83"/>
      <c r="N362" s="83"/>
      <c r="O362" s="82"/>
    </row>
    <row r="363" spans="1:18" x14ac:dyDescent="0.25">
      <c r="A363" s="81"/>
      <c r="B363" s="99"/>
      <c r="C363" s="96"/>
      <c r="D363" s="96"/>
      <c r="E363" s="96"/>
      <c r="F363" s="93"/>
      <c r="I363" t="s">
        <v>27</v>
      </c>
      <c r="J363" t="s">
        <v>521</v>
      </c>
      <c r="K363" t="s">
        <v>522</v>
      </c>
      <c r="M363" s="73"/>
      <c r="N363" s="73"/>
      <c r="O363" s="71"/>
    </row>
    <row r="364" spans="1:18" s="6" customFormat="1" x14ac:dyDescent="0.25">
      <c r="A364" s="80">
        <f>$A$2+96</f>
        <v>97</v>
      </c>
      <c r="B364" s="97">
        <v>17</v>
      </c>
      <c r="C364" s="94">
        <v>1</v>
      </c>
      <c r="D364" s="94">
        <v>1725</v>
      </c>
      <c r="E364" s="94">
        <v>346</v>
      </c>
      <c r="F364" s="91">
        <v>351</v>
      </c>
      <c r="G364" s="20" t="s">
        <v>524</v>
      </c>
      <c r="H364" s="20" t="s">
        <v>525</v>
      </c>
      <c r="I364" s="6" t="s">
        <v>309</v>
      </c>
      <c r="J364" s="6" t="s">
        <v>524</v>
      </c>
      <c r="M364" s="72" t="s">
        <v>527</v>
      </c>
      <c r="N364" s="72" t="s">
        <v>53</v>
      </c>
      <c r="O364" s="70" t="s">
        <v>526</v>
      </c>
      <c r="Q364" s="8"/>
      <c r="R364" s="8"/>
    </row>
    <row r="365" spans="1:18" x14ac:dyDescent="0.25">
      <c r="A365" s="87"/>
      <c r="B365" s="98"/>
      <c r="C365" s="95"/>
      <c r="D365" s="95"/>
      <c r="E365" s="95"/>
      <c r="F365" s="92"/>
      <c r="I365" t="s">
        <v>339</v>
      </c>
      <c r="J365" t="s">
        <v>525</v>
      </c>
      <c r="L365" t="s">
        <v>528</v>
      </c>
      <c r="M365" s="83"/>
      <c r="N365" s="83"/>
      <c r="O365" s="82"/>
    </row>
    <row r="366" spans="1:18" x14ac:dyDescent="0.25">
      <c r="A366" s="87"/>
      <c r="B366" s="98"/>
      <c r="C366" s="95"/>
      <c r="D366" s="95"/>
      <c r="E366" s="95"/>
      <c r="F366" s="92"/>
      <c r="J366" t="s">
        <v>268</v>
      </c>
      <c r="K366" t="s">
        <v>269</v>
      </c>
      <c r="M366" s="83"/>
      <c r="N366" s="83"/>
      <c r="O366" s="82"/>
    </row>
    <row r="367" spans="1:18" x14ac:dyDescent="0.25">
      <c r="A367" s="81"/>
      <c r="B367" s="99"/>
      <c r="C367" s="96"/>
      <c r="D367" s="96"/>
      <c r="E367" s="96"/>
      <c r="F367" s="93"/>
      <c r="J367" t="s">
        <v>87</v>
      </c>
      <c r="K367" t="s">
        <v>529</v>
      </c>
      <c r="L367" t="s">
        <v>187</v>
      </c>
      <c r="M367" s="73"/>
      <c r="N367" s="73"/>
      <c r="O367" s="71"/>
    </row>
    <row r="368" spans="1:18" s="6" customFormat="1" x14ac:dyDescent="0.25">
      <c r="A368" s="80">
        <f>$A$2+97</f>
        <v>98</v>
      </c>
      <c r="B368" s="97">
        <v>19</v>
      </c>
      <c r="C368" s="94">
        <v>1</v>
      </c>
      <c r="D368" s="94">
        <v>1725</v>
      </c>
      <c r="E368" s="94">
        <v>347</v>
      </c>
      <c r="F368" s="91">
        <v>352</v>
      </c>
      <c r="G368" s="20"/>
      <c r="H368" s="20"/>
      <c r="I368" s="6" t="s">
        <v>27</v>
      </c>
      <c r="J368" s="6" t="s">
        <v>530</v>
      </c>
      <c r="M368" s="72"/>
      <c r="N368" s="72" t="s">
        <v>344</v>
      </c>
      <c r="O368" s="70"/>
      <c r="Q368" s="8"/>
      <c r="R368" s="8"/>
    </row>
    <row r="369" spans="1:18" x14ac:dyDescent="0.25">
      <c r="A369" s="81"/>
      <c r="B369" s="99"/>
      <c r="C369" s="96"/>
      <c r="D369" s="96"/>
      <c r="E369" s="96"/>
      <c r="F369" s="93"/>
      <c r="I369" t="s">
        <v>27</v>
      </c>
      <c r="J369" t="s">
        <v>326</v>
      </c>
      <c r="M369" s="73"/>
      <c r="N369" s="73"/>
      <c r="O369" s="71"/>
    </row>
    <row r="370" spans="1:18" s="6" customFormat="1" x14ac:dyDescent="0.25">
      <c r="A370" s="80">
        <f>$A$2+98</f>
        <v>99</v>
      </c>
      <c r="B370" s="97">
        <v>19</v>
      </c>
      <c r="C370" s="94">
        <v>1</v>
      </c>
      <c r="D370" s="94">
        <v>1725</v>
      </c>
      <c r="E370" s="94">
        <v>347</v>
      </c>
      <c r="F370" s="91">
        <v>352</v>
      </c>
      <c r="G370" s="20" t="s">
        <v>532</v>
      </c>
      <c r="H370" s="20" t="s">
        <v>533</v>
      </c>
      <c r="J370" s="6" t="s">
        <v>532</v>
      </c>
      <c r="M370" s="72" t="s">
        <v>531</v>
      </c>
      <c r="N370" s="72" t="s">
        <v>53</v>
      </c>
      <c r="O370" s="70" t="s">
        <v>534</v>
      </c>
      <c r="Q370" s="8"/>
      <c r="R370" s="8"/>
    </row>
    <row r="371" spans="1:18" x14ac:dyDescent="0.25">
      <c r="A371" s="81"/>
      <c r="B371" s="99"/>
      <c r="C371" s="96"/>
      <c r="D371" s="96"/>
      <c r="E371" s="96"/>
      <c r="F371" s="93"/>
      <c r="J371" t="s">
        <v>533</v>
      </c>
      <c r="L371" t="s">
        <v>389</v>
      </c>
      <c r="M371" s="73"/>
      <c r="N371" s="73"/>
      <c r="O371" s="71"/>
    </row>
    <row r="372" spans="1:18" s="6" customFormat="1" x14ac:dyDescent="0.25">
      <c r="A372" s="80">
        <f>$A$2+99</f>
        <v>100</v>
      </c>
      <c r="B372" s="97">
        <v>25</v>
      </c>
      <c r="C372" s="94">
        <v>1</v>
      </c>
      <c r="D372" s="94">
        <v>1725</v>
      </c>
      <c r="E372" s="94">
        <v>348</v>
      </c>
      <c r="F372" s="91">
        <v>353</v>
      </c>
      <c r="G372" s="20" t="s">
        <v>535</v>
      </c>
      <c r="H372" s="20" t="s">
        <v>537</v>
      </c>
      <c r="I372" s="6" t="s">
        <v>29</v>
      </c>
      <c r="J372" s="6" t="s">
        <v>535</v>
      </c>
      <c r="K372" s="6" t="s">
        <v>536</v>
      </c>
      <c r="M372" s="72" t="s">
        <v>108</v>
      </c>
      <c r="N372" s="72" t="s">
        <v>177</v>
      </c>
      <c r="O372" s="70" t="s">
        <v>538</v>
      </c>
      <c r="Q372" s="8"/>
      <c r="R372" s="8"/>
    </row>
    <row r="373" spans="1:18" x14ac:dyDescent="0.25">
      <c r="A373" s="81"/>
      <c r="B373" s="99"/>
      <c r="C373" s="96"/>
      <c r="D373" s="96"/>
      <c r="E373" s="96"/>
      <c r="F373" s="93"/>
      <c r="J373" t="s">
        <v>537</v>
      </c>
      <c r="M373" s="73"/>
      <c r="N373" s="73"/>
      <c r="O373" s="71"/>
    </row>
    <row r="374" spans="1:18" s="6" customFormat="1" x14ac:dyDescent="0.25">
      <c r="A374" s="80">
        <f>$A$2+100</f>
        <v>101</v>
      </c>
      <c r="B374" s="97">
        <v>3</v>
      </c>
      <c r="C374" s="94">
        <v>2</v>
      </c>
      <c r="D374" s="94">
        <v>1725</v>
      </c>
      <c r="E374" s="94">
        <v>348</v>
      </c>
      <c r="F374" s="91">
        <v>353</v>
      </c>
      <c r="G374" s="20" t="s">
        <v>17</v>
      </c>
      <c r="H374" s="20" t="s">
        <v>457</v>
      </c>
      <c r="I374" s="6" t="s">
        <v>103</v>
      </c>
      <c r="J374" s="6" t="s">
        <v>17</v>
      </c>
      <c r="M374" s="72"/>
      <c r="N374" s="72" t="s">
        <v>344</v>
      </c>
      <c r="O374" s="70"/>
      <c r="Q374" s="8"/>
      <c r="R374" s="8"/>
    </row>
    <row r="375" spans="1:18" x14ac:dyDescent="0.25">
      <c r="A375" s="81"/>
      <c r="B375" s="99"/>
      <c r="C375" s="96"/>
      <c r="D375" s="96"/>
      <c r="E375" s="96"/>
      <c r="F375" s="93"/>
      <c r="I375" t="s">
        <v>27</v>
      </c>
      <c r="J375" t="s">
        <v>457</v>
      </c>
      <c r="M375" s="73"/>
      <c r="N375" s="73"/>
      <c r="O375" s="71"/>
    </row>
    <row r="376" spans="1:18" s="6" customFormat="1" x14ac:dyDescent="0.25">
      <c r="A376" s="80">
        <f>$A$2+101</f>
        <v>102</v>
      </c>
      <c r="B376" s="97">
        <v>7</v>
      </c>
      <c r="C376" s="94">
        <v>2</v>
      </c>
      <c r="D376" s="94">
        <v>1725</v>
      </c>
      <c r="E376" s="94">
        <v>348</v>
      </c>
      <c r="F376" s="91">
        <v>353</v>
      </c>
      <c r="G376" s="20" t="s">
        <v>547</v>
      </c>
      <c r="H376" s="20" t="s">
        <v>521</v>
      </c>
      <c r="I376" s="6" t="s">
        <v>27</v>
      </c>
      <c r="J376" s="6" t="s">
        <v>521</v>
      </c>
      <c r="M376" s="72" t="s">
        <v>545</v>
      </c>
      <c r="N376" s="72" t="s">
        <v>20</v>
      </c>
      <c r="O376" s="70" t="s">
        <v>546</v>
      </c>
      <c r="Q376" s="8"/>
      <c r="R376" s="8"/>
    </row>
    <row r="377" spans="1:18" x14ac:dyDescent="0.25">
      <c r="A377" s="87"/>
      <c r="B377" s="98"/>
      <c r="C377" s="95"/>
      <c r="D377" s="95"/>
      <c r="E377" s="95"/>
      <c r="F377" s="92"/>
      <c r="J377" t="s">
        <v>542</v>
      </c>
      <c r="M377" s="83"/>
      <c r="N377" s="83"/>
      <c r="O377" s="82"/>
    </row>
    <row r="378" spans="1:18" x14ac:dyDescent="0.25">
      <c r="A378" s="87"/>
      <c r="B378" s="98"/>
      <c r="C378" s="95"/>
      <c r="D378" s="95"/>
      <c r="E378" s="95"/>
      <c r="F378" s="92"/>
      <c r="J378" t="s">
        <v>458</v>
      </c>
      <c r="K378" t="s">
        <v>539</v>
      </c>
      <c r="M378" s="83"/>
      <c r="N378" s="83"/>
      <c r="O378" s="82"/>
    </row>
    <row r="379" spans="1:18" x14ac:dyDescent="0.25">
      <c r="A379" s="87"/>
      <c r="B379" s="98"/>
      <c r="C379" s="95"/>
      <c r="D379" s="95"/>
      <c r="E379" s="95"/>
      <c r="F379" s="92"/>
      <c r="J379" t="s">
        <v>540</v>
      </c>
      <c r="K379" t="s">
        <v>541</v>
      </c>
      <c r="M379" s="83"/>
      <c r="N379" s="83"/>
      <c r="O379" s="82"/>
    </row>
    <row r="380" spans="1:18" x14ac:dyDescent="0.25">
      <c r="A380" s="81"/>
      <c r="B380" s="99"/>
      <c r="C380" s="96"/>
      <c r="D380" s="96"/>
      <c r="E380" s="96"/>
      <c r="F380" s="93"/>
      <c r="J380" t="s">
        <v>543</v>
      </c>
      <c r="L380" t="s">
        <v>544</v>
      </c>
      <c r="M380" s="73"/>
      <c r="N380" s="73"/>
      <c r="O380" s="71"/>
    </row>
    <row r="381" spans="1:18" s="6" customFormat="1" x14ac:dyDescent="0.25">
      <c r="A381" s="80">
        <f>$A$2+101</f>
        <v>102</v>
      </c>
      <c r="B381" s="97">
        <v>7</v>
      </c>
      <c r="C381" s="94">
        <v>2</v>
      </c>
      <c r="D381" s="94">
        <v>1725</v>
      </c>
      <c r="E381" s="94">
        <v>349</v>
      </c>
      <c r="F381" s="91">
        <v>354</v>
      </c>
      <c r="G381" s="20" t="s">
        <v>547</v>
      </c>
      <c r="H381" s="20"/>
      <c r="I381" s="6" t="s">
        <v>31</v>
      </c>
      <c r="J381" s="6" t="s">
        <v>548</v>
      </c>
      <c r="M381" s="72" t="s">
        <v>545</v>
      </c>
      <c r="N381" s="72" t="s">
        <v>9</v>
      </c>
      <c r="O381" s="70" t="s">
        <v>559</v>
      </c>
      <c r="Q381" s="8"/>
      <c r="R381" s="8"/>
    </row>
    <row r="382" spans="1:18" x14ac:dyDescent="0.25">
      <c r="A382" s="87"/>
      <c r="B382" s="98"/>
      <c r="C382" s="95"/>
      <c r="D382" s="95"/>
      <c r="E382" s="95"/>
      <c r="F382" s="92"/>
      <c r="I382" t="s">
        <v>103</v>
      </c>
      <c r="J382" t="s">
        <v>552</v>
      </c>
      <c r="M382" s="83"/>
      <c r="N382" s="83"/>
      <c r="O382" s="82"/>
    </row>
    <row r="383" spans="1:18" x14ac:dyDescent="0.25">
      <c r="A383" s="87"/>
      <c r="B383" s="98"/>
      <c r="C383" s="95"/>
      <c r="D383" s="95"/>
      <c r="E383" s="95"/>
      <c r="F383" s="92"/>
      <c r="J383" t="s">
        <v>540</v>
      </c>
      <c r="L383" t="s">
        <v>561</v>
      </c>
      <c r="M383" s="83"/>
      <c r="N383" s="83"/>
      <c r="O383" s="82"/>
      <c r="P383" t="s">
        <v>551</v>
      </c>
    </row>
    <row r="384" spans="1:18" x14ac:dyDescent="0.25">
      <c r="A384" s="87"/>
      <c r="B384" s="98"/>
      <c r="C384" s="95"/>
      <c r="D384" s="95"/>
      <c r="E384" s="95"/>
      <c r="F384" s="92"/>
      <c r="J384" t="s">
        <v>549</v>
      </c>
      <c r="K384" t="s">
        <v>550</v>
      </c>
      <c r="L384" t="s">
        <v>558</v>
      </c>
      <c r="M384" s="83"/>
      <c r="N384" s="83"/>
      <c r="O384" s="82"/>
    </row>
    <row r="385" spans="1:18" x14ac:dyDescent="0.25">
      <c r="A385" s="87"/>
      <c r="B385" s="98"/>
      <c r="C385" s="95"/>
      <c r="D385" s="95"/>
      <c r="E385" s="95"/>
      <c r="F385" s="92"/>
      <c r="J385" t="s">
        <v>553</v>
      </c>
      <c r="L385" t="s">
        <v>560</v>
      </c>
      <c r="M385" s="83"/>
      <c r="N385" s="83"/>
      <c r="O385" s="82"/>
    </row>
    <row r="386" spans="1:18" x14ac:dyDescent="0.25">
      <c r="A386" s="87"/>
      <c r="B386" s="98"/>
      <c r="C386" s="95"/>
      <c r="D386" s="95"/>
      <c r="E386" s="95"/>
      <c r="F386" s="92"/>
      <c r="J386" t="s">
        <v>556</v>
      </c>
      <c r="M386" s="83"/>
      <c r="N386" s="83"/>
      <c r="O386" s="82"/>
    </row>
    <row r="387" spans="1:18" x14ac:dyDescent="0.25">
      <c r="A387" s="87"/>
      <c r="B387" s="98"/>
      <c r="C387" s="95"/>
      <c r="D387" s="95"/>
      <c r="E387" s="95"/>
      <c r="F387" s="92"/>
      <c r="J387" t="s">
        <v>554</v>
      </c>
      <c r="L387" t="s">
        <v>555</v>
      </c>
      <c r="M387" s="83"/>
      <c r="N387" s="83"/>
      <c r="O387" s="82"/>
    </row>
    <row r="388" spans="1:18" x14ac:dyDescent="0.25">
      <c r="A388" s="81"/>
      <c r="B388" s="99"/>
      <c r="C388" s="96"/>
      <c r="D388" s="96"/>
      <c r="E388" s="96"/>
      <c r="F388" s="93"/>
      <c r="I388" t="s">
        <v>27</v>
      </c>
      <c r="J388" t="s">
        <v>286</v>
      </c>
      <c r="L388" t="s">
        <v>557</v>
      </c>
      <c r="M388" s="73"/>
      <c r="N388" s="73"/>
      <c r="O388" s="71"/>
    </row>
    <row r="389" spans="1:18" s="6" customFormat="1" ht="15" customHeight="1" x14ac:dyDescent="0.25">
      <c r="A389" s="80">
        <f>$A$2+102</f>
        <v>103</v>
      </c>
      <c r="B389" s="97">
        <v>7</v>
      </c>
      <c r="C389" s="94">
        <v>2</v>
      </c>
      <c r="D389" s="94">
        <v>1725</v>
      </c>
      <c r="E389" s="94">
        <v>350</v>
      </c>
      <c r="F389" s="91">
        <v>355</v>
      </c>
      <c r="G389" s="20" t="s">
        <v>562</v>
      </c>
      <c r="H389" s="20" t="s">
        <v>563</v>
      </c>
      <c r="J389" s="6" t="s">
        <v>563</v>
      </c>
      <c r="K389" s="6" t="s">
        <v>565</v>
      </c>
      <c r="M389" s="72" t="s">
        <v>545</v>
      </c>
      <c r="N389" s="72" t="s">
        <v>53</v>
      </c>
      <c r="O389" s="70" t="s">
        <v>566</v>
      </c>
      <c r="Q389" s="8"/>
      <c r="R389" s="8"/>
    </row>
    <row r="390" spans="1:18" x14ac:dyDescent="0.25">
      <c r="A390" s="87"/>
      <c r="B390" s="98"/>
      <c r="C390" s="95"/>
      <c r="D390" s="95"/>
      <c r="E390" s="95"/>
      <c r="F390" s="92"/>
      <c r="J390" t="s">
        <v>564</v>
      </c>
      <c r="M390" s="83"/>
      <c r="N390" s="83"/>
      <c r="O390" s="82"/>
    </row>
    <row r="391" spans="1:18" x14ac:dyDescent="0.25">
      <c r="A391" s="81"/>
      <c r="B391" s="99"/>
      <c r="C391" s="96"/>
      <c r="D391" s="96"/>
      <c r="E391" s="96"/>
      <c r="F391" s="93"/>
      <c r="J391" t="s">
        <v>458</v>
      </c>
      <c r="K391" t="s">
        <v>539</v>
      </c>
      <c r="M391" s="73"/>
      <c r="N391" s="73"/>
      <c r="O391" s="71"/>
    </row>
    <row r="392" spans="1:18" s="6" customFormat="1" x14ac:dyDescent="0.25">
      <c r="A392" s="80">
        <f>$A$2+103</f>
        <v>104</v>
      </c>
      <c r="B392" s="97">
        <v>7</v>
      </c>
      <c r="C392" s="94">
        <v>2</v>
      </c>
      <c r="D392" s="94">
        <v>1725</v>
      </c>
      <c r="E392" s="94">
        <v>350</v>
      </c>
      <c r="F392" s="91">
        <v>355</v>
      </c>
      <c r="G392" s="20" t="s">
        <v>73</v>
      </c>
      <c r="H392" s="20" t="s">
        <v>521</v>
      </c>
      <c r="I392" s="6" t="s">
        <v>27</v>
      </c>
      <c r="J392" s="6" t="s">
        <v>73</v>
      </c>
      <c r="K392" s="6" t="s">
        <v>567</v>
      </c>
      <c r="M392" s="72" t="s">
        <v>13</v>
      </c>
      <c r="N392" s="72" t="s">
        <v>20</v>
      </c>
      <c r="O392" s="70" t="s">
        <v>569</v>
      </c>
      <c r="Q392" s="8"/>
      <c r="R392" s="8"/>
    </row>
    <row r="393" spans="1:18" x14ac:dyDescent="0.25">
      <c r="A393" s="87"/>
      <c r="B393" s="98"/>
      <c r="C393" s="95"/>
      <c r="D393" s="95"/>
      <c r="E393" s="95"/>
      <c r="F393" s="92"/>
      <c r="H393" s="18" t="s">
        <v>568</v>
      </c>
      <c r="I393" t="s">
        <v>27</v>
      </c>
      <c r="J393" t="s">
        <v>521</v>
      </c>
      <c r="M393" s="83"/>
      <c r="N393" s="83"/>
      <c r="O393" s="82"/>
    </row>
    <row r="394" spans="1:18" x14ac:dyDescent="0.25">
      <c r="A394" s="81"/>
      <c r="B394" s="99"/>
      <c r="C394" s="96"/>
      <c r="D394" s="96"/>
      <c r="E394" s="96"/>
      <c r="F394" s="93"/>
      <c r="J394" t="s">
        <v>568</v>
      </c>
      <c r="M394" s="73"/>
      <c r="N394" s="73"/>
      <c r="O394" s="71"/>
    </row>
    <row r="395" spans="1:18" s="6" customFormat="1" x14ac:dyDescent="0.25">
      <c r="A395" s="80">
        <f>$A$2+104</f>
        <v>105</v>
      </c>
      <c r="B395" s="97">
        <v>22</v>
      </c>
      <c r="C395" s="94">
        <v>2</v>
      </c>
      <c r="D395" s="94">
        <v>1725</v>
      </c>
      <c r="E395" s="94">
        <v>350</v>
      </c>
      <c r="F395" s="91">
        <v>355</v>
      </c>
      <c r="G395" s="20" t="s">
        <v>570</v>
      </c>
      <c r="H395" s="20" t="s">
        <v>51</v>
      </c>
      <c r="I395" s="6" t="s">
        <v>31</v>
      </c>
      <c r="J395" s="6" t="s">
        <v>570</v>
      </c>
      <c r="M395" s="72" t="s">
        <v>574</v>
      </c>
      <c r="N395" s="72" t="s">
        <v>9</v>
      </c>
      <c r="O395" s="70" t="s">
        <v>573</v>
      </c>
      <c r="Q395" s="8"/>
      <c r="R395" s="8"/>
    </row>
    <row r="396" spans="1:18" x14ac:dyDescent="0.25">
      <c r="A396" s="87"/>
      <c r="B396" s="98"/>
      <c r="C396" s="95"/>
      <c r="D396" s="95"/>
      <c r="E396" s="95"/>
      <c r="F396" s="92"/>
      <c r="I396" t="s">
        <v>31</v>
      </c>
      <c r="J396" t="s">
        <v>51</v>
      </c>
      <c r="M396" s="83"/>
      <c r="N396" s="83"/>
      <c r="O396" s="82"/>
    </row>
    <row r="397" spans="1:18" x14ac:dyDescent="0.25">
      <c r="A397" s="81"/>
      <c r="B397" s="99"/>
      <c r="C397" s="96"/>
      <c r="D397" s="96"/>
      <c r="E397" s="96"/>
      <c r="F397" s="93"/>
      <c r="I397" t="s">
        <v>29</v>
      </c>
      <c r="J397" t="s">
        <v>571</v>
      </c>
      <c r="L397" t="s">
        <v>572</v>
      </c>
      <c r="M397" s="73"/>
      <c r="N397" s="73"/>
      <c r="O397" s="71"/>
    </row>
    <row r="398" spans="1:18" s="6" customFormat="1" x14ac:dyDescent="0.25">
      <c r="A398" s="80">
        <f>$A$2+105</f>
        <v>106</v>
      </c>
      <c r="B398" s="97">
        <v>22</v>
      </c>
      <c r="C398" s="94">
        <v>2</v>
      </c>
      <c r="D398" s="94">
        <v>1725</v>
      </c>
      <c r="E398" s="94">
        <v>351</v>
      </c>
      <c r="F398" s="91">
        <v>356</v>
      </c>
      <c r="G398" s="20" t="s">
        <v>570</v>
      </c>
      <c r="H398" s="20" t="s">
        <v>51</v>
      </c>
      <c r="I398" s="6" t="s">
        <v>31</v>
      </c>
      <c r="J398" s="6" t="s">
        <v>570</v>
      </c>
      <c r="M398" s="72" t="s">
        <v>575</v>
      </c>
      <c r="N398" s="72" t="s">
        <v>84</v>
      </c>
      <c r="O398" s="70" t="s">
        <v>573</v>
      </c>
      <c r="Q398" s="8"/>
      <c r="R398" s="8"/>
    </row>
    <row r="399" spans="1:18" x14ac:dyDescent="0.25">
      <c r="A399" s="81"/>
      <c r="B399" s="99"/>
      <c r="C399" s="96"/>
      <c r="D399" s="96"/>
      <c r="E399" s="96"/>
      <c r="F399" s="93"/>
      <c r="I399" t="s">
        <v>31</v>
      </c>
      <c r="J399" t="s">
        <v>51</v>
      </c>
      <c r="M399" s="73"/>
      <c r="N399" s="73"/>
      <c r="O399" s="71"/>
    </row>
    <row r="400" spans="1:18" s="6" customFormat="1" ht="17.25" customHeight="1" x14ac:dyDescent="0.25">
      <c r="A400" s="25">
        <f>$A$2+106</f>
        <v>107</v>
      </c>
      <c r="B400" s="4">
        <v>27</v>
      </c>
      <c r="C400" s="4">
        <v>2</v>
      </c>
      <c r="D400" s="4">
        <v>1725</v>
      </c>
      <c r="E400" s="4">
        <v>351</v>
      </c>
      <c r="F400" s="3">
        <v>356</v>
      </c>
      <c r="G400" s="20" t="s">
        <v>576</v>
      </c>
      <c r="H400" s="20" t="s">
        <v>577</v>
      </c>
      <c r="M400" s="27" t="s">
        <v>578</v>
      </c>
      <c r="N400" s="27" t="s">
        <v>53</v>
      </c>
      <c r="O400" s="35" t="s">
        <v>579</v>
      </c>
      <c r="Q400" s="8"/>
      <c r="R400" s="8"/>
    </row>
    <row r="401" spans="1:18" s="6" customFormat="1" x14ac:dyDescent="0.25">
      <c r="A401" s="80">
        <f>$A$2+107</f>
        <v>108</v>
      </c>
      <c r="B401" s="97">
        <v>27</v>
      </c>
      <c r="C401" s="94">
        <v>2</v>
      </c>
      <c r="D401" s="94">
        <v>1725</v>
      </c>
      <c r="E401" s="94">
        <v>352</v>
      </c>
      <c r="F401" s="91">
        <v>357</v>
      </c>
      <c r="G401" s="20" t="s">
        <v>580</v>
      </c>
      <c r="H401" s="20" t="s">
        <v>581</v>
      </c>
      <c r="I401" s="6" t="s">
        <v>27</v>
      </c>
      <c r="J401" s="6" t="s">
        <v>580</v>
      </c>
      <c r="M401" s="72" t="s">
        <v>582</v>
      </c>
      <c r="N401" s="72" t="s">
        <v>20</v>
      </c>
      <c r="O401" s="70" t="s">
        <v>583</v>
      </c>
      <c r="Q401" s="8"/>
      <c r="R401" s="8"/>
    </row>
    <row r="402" spans="1:18" x14ac:dyDescent="0.25">
      <c r="A402" s="81"/>
      <c r="B402" s="99"/>
      <c r="C402" s="96"/>
      <c r="D402" s="96"/>
      <c r="E402" s="96"/>
      <c r="F402" s="93"/>
      <c r="I402" t="s">
        <v>27</v>
      </c>
      <c r="J402" t="s">
        <v>581</v>
      </c>
      <c r="M402" s="73"/>
      <c r="N402" s="73"/>
      <c r="O402" s="71"/>
    </row>
    <row r="403" spans="1:18" s="6" customFormat="1" x14ac:dyDescent="0.25">
      <c r="A403" s="80">
        <f>$A$2+108</f>
        <v>109</v>
      </c>
      <c r="B403" s="97">
        <v>27</v>
      </c>
      <c r="C403" s="94">
        <v>2</v>
      </c>
      <c r="D403" s="94">
        <v>1725</v>
      </c>
      <c r="E403" s="94">
        <v>352</v>
      </c>
      <c r="F403" s="91">
        <v>357</v>
      </c>
      <c r="G403" s="20"/>
      <c r="H403" s="20"/>
      <c r="I403" s="6" t="s">
        <v>27</v>
      </c>
      <c r="J403" s="6" t="s">
        <v>584</v>
      </c>
      <c r="L403" s="6" t="s">
        <v>593</v>
      </c>
      <c r="M403" s="72" t="s">
        <v>594</v>
      </c>
      <c r="N403" s="72" t="s">
        <v>600</v>
      </c>
      <c r="O403" s="70" t="s">
        <v>592</v>
      </c>
      <c r="Q403" s="8"/>
      <c r="R403" s="8"/>
    </row>
    <row r="404" spans="1:18" x14ac:dyDescent="0.25">
      <c r="A404" s="87"/>
      <c r="B404" s="98"/>
      <c r="C404" s="95"/>
      <c r="D404" s="95"/>
      <c r="E404" s="95"/>
      <c r="F404" s="92"/>
      <c r="I404" t="s">
        <v>103</v>
      </c>
      <c r="J404" t="s">
        <v>595</v>
      </c>
      <c r="K404" t="s">
        <v>585</v>
      </c>
      <c r="M404" s="83"/>
      <c r="N404" s="83"/>
      <c r="O404" s="82"/>
    </row>
    <row r="405" spans="1:18" x14ac:dyDescent="0.25">
      <c r="A405" s="87"/>
      <c r="B405" s="98"/>
      <c r="C405" s="95"/>
      <c r="D405" s="95"/>
      <c r="E405" s="95"/>
      <c r="F405" s="92"/>
      <c r="I405" t="s">
        <v>103</v>
      </c>
      <c r="J405" t="s">
        <v>586</v>
      </c>
      <c r="K405" t="s">
        <v>587</v>
      </c>
      <c r="M405" s="83"/>
      <c r="N405" s="83"/>
      <c r="O405" s="82"/>
    </row>
    <row r="406" spans="1:18" x14ac:dyDescent="0.25">
      <c r="A406" s="87"/>
      <c r="B406" s="98"/>
      <c r="C406" s="95"/>
      <c r="D406" s="95"/>
      <c r="E406" s="95"/>
      <c r="F406" s="92"/>
      <c r="I406" t="s">
        <v>103</v>
      </c>
      <c r="J406" t="s">
        <v>588</v>
      </c>
      <c r="K406" t="s">
        <v>591</v>
      </c>
      <c r="M406" s="83"/>
      <c r="N406" s="83"/>
      <c r="O406" s="82"/>
    </row>
    <row r="407" spans="1:18" x14ac:dyDescent="0.25">
      <c r="A407" s="87"/>
      <c r="B407" s="98"/>
      <c r="C407" s="95"/>
      <c r="D407" s="95"/>
      <c r="E407" s="95"/>
      <c r="F407" s="92"/>
      <c r="J407" t="s">
        <v>589</v>
      </c>
      <c r="K407" t="s">
        <v>591</v>
      </c>
      <c r="M407" s="83"/>
      <c r="N407" s="83"/>
      <c r="O407" s="82"/>
    </row>
    <row r="408" spans="1:18" x14ac:dyDescent="0.25">
      <c r="A408" s="81"/>
      <c r="B408" s="99"/>
      <c r="C408" s="96"/>
      <c r="D408" s="96"/>
      <c r="E408" s="96"/>
      <c r="F408" s="93"/>
      <c r="J408" t="s">
        <v>590</v>
      </c>
      <c r="K408" t="s">
        <v>591</v>
      </c>
      <c r="M408" s="73"/>
      <c r="N408" s="73"/>
      <c r="O408" s="71"/>
    </row>
    <row r="409" spans="1:18" s="6" customFormat="1" x14ac:dyDescent="0.25">
      <c r="A409" s="80">
        <f>$A$2+109</f>
        <v>110</v>
      </c>
      <c r="B409" s="97">
        <v>27</v>
      </c>
      <c r="C409" s="94">
        <v>2</v>
      </c>
      <c r="D409" s="94">
        <v>1725</v>
      </c>
      <c r="E409" s="94">
        <v>352</v>
      </c>
      <c r="F409" s="91">
        <v>357</v>
      </c>
      <c r="G409" s="20"/>
      <c r="H409" s="20"/>
      <c r="I409" s="6" t="s">
        <v>103</v>
      </c>
      <c r="J409" s="6" t="s">
        <v>595</v>
      </c>
      <c r="K409" s="6" t="s">
        <v>585</v>
      </c>
      <c r="M409" s="72" t="s">
        <v>594</v>
      </c>
      <c r="N409" s="72" t="s">
        <v>600</v>
      </c>
      <c r="O409" s="70" t="s">
        <v>592</v>
      </c>
      <c r="Q409" s="8"/>
      <c r="R409" s="8"/>
    </row>
    <row r="410" spans="1:18" x14ac:dyDescent="0.25">
      <c r="A410" s="87"/>
      <c r="B410" s="98"/>
      <c r="C410" s="95"/>
      <c r="D410" s="95"/>
      <c r="E410" s="95"/>
      <c r="F410" s="92"/>
      <c r="I410" t="s">
        <v>103</v>
      </c>
      <c r="J410" t="s">
        <v>586</v>
      </c>
      <c r="M410" s="83"/>
      <c r="N410" s="83"/>
      <c r="O410" s="82"/>
    </row>
    <row r="411" spans="1:18" x14ac:dyDescent="0.25">
      <c r="A411" s="87"/>
      <c r="B411" s="98"/>
      <c r="C411" s="95"/>
      <c r="D411" s="95"/>
      <c r="E411" s="95"/>
      <c r="F411" s="92"/>
      <c r="I411" t="s">
        <v>103</v>
      </c>
      <c r="J411" t="s">
        <v>588</v>
      </c>
      <c r="M411" s="83"/>
      <c r="N411" s="83"/>
      <c r="O411" s="82"/>
    </row>
    <row r="412" spans="1:18" x14ac:dyDescent="0.25">
      <c r="A412" s="87"/>
      <c r="B412" s="98"/>
      <c r="C412" s="95"/>
      <c r="D412" s="95"/>
      <c r="E412" s="95"/>
      <c r="F412" s="92"/>
      <c r="J412" t="s">
        <v>589</v>
      </c>
      <c r="M412" s="83"/>
      <c r="N412" s="83"/>
      <c r="O412" s="82"/>
    </row>
    <row r="413" spans="1:18" x14ac:dyDescent="0.25">
      <c r="A413" s="87"/>
      <c r="B413" s="98"/>
      <c r="C413" s="95"/>
      <c r="D413" s="95"/>
      <c r="E413" s="95"/>
      <c r="F413" s="92"/>
      <c r="J413" t="s">
        <v>590</v>
      </c>
      <c r="M413" s="83"/>
      <c r="N413" s="83"/>
      <c r="O413" s="82"/>
    </row>
    <row r="414" spans="1:18" x14ac:dyDescent="0.25">
      <c r="A414" s="81"/>
      <c r="B414" s="99"/>
      <c r="C414" s="96"/>
      <c r="D414" s="96"/>
      <c r="E414" s="96"/>
      <c r="F414" s="93"/>
      <c r="I414" t="s">
        <v>27</v>
      </c>
      <c r="J414" t="s">
        <v>596</v>
      </c>
      <c r="L414" t="s">
        <v>593</v>
      </c>
      <c r="M414" s="73"/>
      <c r="N414" s="73"/>
      <c r="O414" s="71"/>
    </row>
    <row r="415" spans="1:18" s="6" customFormat="1" x14ac:dyDescent="0.25">
      <c r="A415" s="80">
        <f>$A$2+110</f>
        <v>111</v>
      </c>
      <c r="B415" s="97">
        <v>9</v>
      </c>
      <c r="C415" s="94">
        <v>3</v>
      </c>
      <c r="D415" s="94">
        <v>1725</v>
      </c>
      <c r="E415" s="94">
        <v>353</v>
      </c>
      <c r="F415" s="91">
        <v>358</v>
      </c>
      <c r="G415" s="20"/>
      <c r="H415" s="20"/>
      <c r="I415" s="6" t="s">
        <v>103</v>
      </c>
      <c r="J415" s="6" t="s">
        <v>595</v>
      </c>
      <c r="K415" s="6" t="s">
        <v>585</v>
      </c>
      <c r="M415" s="72" t="s">
        <v>594</v>
      </c>
      <c r="N415" s="72" t="s">
        <v>600</v>
      </c>
      <c r="O415" s="70" t="s">
        <v>599</v>
      </c>
      <c r="Q415" s="8"/>
      <c r="R415" s="8"/>
    </row>
    <row r="416" spans="1:18" x14ac:dyDescent="0.25">
      <c r="A416" s="87"/>
      <c r="B416" s="98"/>
      <c r="C416" s="95"/>
      <c r="D416" s="95"/>
      <c r="E416" s="95"/>
      <c r="F416" s="92"/>
      <c r="I416" t="s">
        <v>103</v>
      </c>
      <c r="J416" t="s">
        <v>586</v>
      </c>
      <c r="M416" s="83"/>
      <c r="N416" s="83"/>
      <c r="O416" s="82"/>
    </row>
    <row r="417" spans="1:18" x14ac:dyDescent="0.25">
      <c r="A417" s="87"/>
      <c r="B417" s="98"/>
      <c r="C417" s="95"/>
      <c r="D417" s="95"/>
      <c r="E417" s="95"/>
      <c r="F417" s="92"/>
      <c r="I417" t="s">
        <v>103</v>
      </c>
      <c r="J417" t="s">
        <v>588</v>
      </c>
      <c r="M417" s="83"/>
      <c r="N417" s="83"/>
      <c r="O417" s="82"/>
    </row>
    <row r="418" spans="1:18" x14ac:dyDescent="0.25">
      <c r="A418" s="87"/>
      <c r="B418" s="98"/>
      <c r="C418" s="95"/>
      <c r="D418" s="95"/>
      <c r="E418" s="95"/>
      <c r="F418" s="92"/>
      <c r="J418" t="s">
        <v>589</v>
      </c>
      <c r="M418" s="83"/>
      <c r="N418" s="83"/>
      <c r="O418" s="82"/>
    </row>
    <row r="419" spans="1:18" x14ac:dyDescent="0.25">
      <c r="A419" s="87"/>
      <c r="B419" s="98"/>
      <c r="C419" s="95"/>
      <c r="D419" s="95"/>
      <c r="E419" s="95"/>
      <c r="F419" s="92"/>
      <c r="J419" t="s">
        <v>590</v>
      </c>
      <c r="M419" s="83"/>
      <c r="N419" s="83"/>
      <c r="O419" s="82"/>
    </row>
    <row r="420" spans="1:18" x14ac:dyDescent="0.25">
      <c r="A420" s="81"/>
      <c r="B420" s="99"/>
      <c r="C420" s="96"/>
      <c r="D420" s="96"/>
      <c r="E420" s="96"/>
      <c r="F420" s="93"/>
      <c r="I420" t="s">
        <v>27</v>
      </c>
      <c r="J420" t="s">
        <v>597</v>
      </c>
      <c r="L420" t="s">
        <v>598</v>
      </c>
      <c r="M420" s="73"/>
      <c r="N420" s="73"/>
      <c r="O420" s="71"/>
    </row>
    <row r="421" spans="1:18" s="6" customFormat="1" x14ac:dyDescent="0.25">
      <c r="A421" s="80">
        <f>$A$2+111</f>
        <v>112</v>
      </c>
      <c r="B421" s="97">
        <v>7</v>
      </c>
      <c r="C421" s="94">
        <v>6</v>
      </c>
      <c r="D421" s="94">
        <v>1725</v>
      </c>
      <c r="E421" s="94">
        <v>353</v>
      </c>
      <c r="F421" s="91">
        <v>358</v>
      </c>
      <c r="G421" s="20" t="s">
        <v>601</v>
      </c>
      <c r="H421" s="20" t="s">
        <v>602</v>
      </c>
      <c r="I421" s="6" t="s">
        <v>27</v>
      </c>
      <c r="J421" s="6" t="s">
        <v>601</v>
      </c>
      <c r="M421" s="72" t="s">
        <v>605</v>
      </c>
      <c r="N421" s="72" t="s">
        <v>9</v>
      </c>
      <c r="O421" s="70" t="s">
        <v>606</v>
      </c>
      <c r="Q421" s="8"/>
      <c r="R421" s="8"/>
    </row>
    <row r="422" spans="1:18" x14ac:dyDescent="0.25">
      <c r="A422" s="87"/>
      <c r="B422" s="98"/>
      <c r="C422" s="95"/>
      <c r="D422" s="95"/>
      <c r="E422" s="95"/>
      <c r="F422" s="92"/>
      <c r="I422" t="s">
        <v>103</v>
      </c>
      <c r="J422" t="s">
        <v>602</v>
      </c>
      <c r="M422" s="83"/>
      <c r="N422" s="83"/>
      <c r="O422" s="82"/>
    </row>
    <row r="423" spans="1:18" x14ac:dyDescent="0.25">
      <c r="A423" s="87"/>
      <c r="B423" s="98"/>
      <c r="C423" s="95"/>
      <c r="D423" s="95"/>
      <c r="E423" s="95"/>
      <c r="F423" s="92"/>
      <c r="I423" t="s">
        <v>27</v>
      </c>
      <c r="J423" t="s">
        <v>30</v>
      </c>
      <c r="L423" t="s">
        <v>604</v>
      </c>
      <c r="M423" s="83"/>
      <c r="N423" s="83"/>
      <c r="O423" s="82"/>
    </row>
    <row r="424" spans="1:18" x14ac:dyDescent="0.25">
      <c r="A424" s="81"/>
      <c r="B424" s="99"/>
      <c r="C424" s="96"/>
      <c r="D424" s="96"/>
      <c r="E424" s="96"/>
      <c r="F424" s="93"/>
      <c r="I424" t="s">
        <v>27</v>
      </c>
      <c r="J424" t="s">
        <v>603</v>
      </c>
      <c r="M424" s="73"/>
      <c r="N424" s="73"/>
      <c r="O424" s="71"/>
    </row>
    <row r="425" spans="1:18" s="6" customFormat="1" x14ac:dyDescent="0.25">
      <c r="A425" s="80">
        <f>$A$2+112</f>
        <v>113</v>
      </c>
      <c r="B425" s="97">
        <v>19</v>
      </c>
      <c r="C425" s="94">
        <v>5</v>
      </c>
      <c r="D425" s="94">
        <v>1725</v>
      </c>
      <c r="E425" s="94">
        <v>354</v>
      </c>
      <c r="F425" s="91">
        <v>359</v>
      </c>
      <c r="G425" s="20" t="s">
        <v>607</v>
      </c>
      <c r="H425" s="20" t="s">
        <v>608</v>
      </c>
      <c r="J425" s="6" t="s">
        <v>607</v>
      </c>
      <c r="M425" s="72" t="s">
        <v>620</v>
      </c>
      <c r="N425" s="72" t="s">
        <v>9</v>
      </c>
      <c r="O425" s="70" t="s">
        <v>619</v>
      </c>
      <c r="P425" s="6" t="s">
        <v>617</v>
      </c>
      <c r="Q425" s="8"/>
      <c r="R425" s="8"/>
    </row>
    <row r="426" spans="1:18" x14ac:dyDescent="0.25">
      <c r="A426" s="87"/>
      <c r="B426" s="98"/>
      <c r="C426" s="95"/>
      <c r="D426" s="95"/>
      <c r="E426" s="95"/>
      <c r="F426" s="92"/>
      <c r="J426" t="s">
        <v>608</v>
      </c>
      <c r="L426" t="s">
        <v>609</v>
      </c>
      <c r="M426" s="83"/>
      <c r="N426" s="83"/>
      <c r="O426" s="82"/>
    </row>
    <row r="427" spans="1:18" x14ac:dyDescent="0.25">
      <c r="A427" s="87"/>
      <c r="B427" s="98"/>
      <c r="C427" s="95"/>
      <c r="D427" s="95"/>
      <c r="E427" s="95"/>
      <c r="F427" s="92"/>
      <c r="J427" t="s">
        <v>458</v>
      </c>
      <c r="K427" t="s">
        <v>610</v>
      </c>
      <c r="M427" s="83"/>
      <c r="N427" s="83"/>
      <c r="O427" s="82"/>
    </row>
    <row r="428" spans="1:18" x14ac:dyDescent="0.25">
      <c r="A428" s="87"/>
      <c r="B428" s="98"/>
      <c r="C428" s="95"/>
      <c r="D428" s="95"/>
      <c r="E428" s="95"/>
      <c r="F428" s="92"/>
      <c r="J428" t="s">
        <v>611</v>
      </c>
      <c r="M428" s="83"/>
      <c r="N428" s="83"/>
      <c r="O428" s="82"/>
    </row>
    <row r="429" spans="1:18" x14ac:dyDescent="0.25">
      <c r="A429" s="87"/>
      <c r="B429" s="98"/>
      <c r="C429" s="95"/>
      <c r="D429" s="95"/>
      <c r="E429" s="95"/>
      <c r="F429" s="92"/>
      <c r="J429" t="s">
        <v>612</v>
      </c>
      <c r="M429" s="83"/>
      <c r="N429" s="83"/>
      <c r="O429" s="82"/>
    </row>
    <row r="430" spans="1:18" x14ac:dyDescent="0.25">
      <c r="A430" s="87"/>
      <c r="B430" s="98"/>
      <c r="C430" s="95"/>
      <c r="D430" s="95"/>
      <c r="E430" s="95"/>
      <c r="F430" s="92"/>
      <c r="J430" t="s">
        <v>613</v>
      </c>
      <c r="L430" t="s">
        <v>614</v>
      </c>
      <c r="M430" s="83"/>
      <c r="N430" s="83"/>
      <c r="O430" s="82"/>
    </row>
    <row r="431" spans="1:18" x14ac:dyDescent="0.25">
      <c r="A431" s="87"/>
      <c r="B431" s="98"/>
      <c r="C431" s="95"/>
      <c r="D431" s="95"/>
      <c r="E431" s="95"/>
      <c r="F431" s="92"/>
      <c r="J431" t="s">
        <v>615</v>
      </c>
      <c r="L431" t="s">
        <v>616</v>
      </c>
      <c r="M431" s="83"/>
      <c r="N431" s="83"/>
      <c r="O431" s="82"/>
    </row>
    <row r="432" spans="1:18" x14ac:dyDescent="0.25">
      <c r="A432" s="81"/>
      <c r="B432" s="99"/>
      <c r="C432" s="96"/>
      <c r="D432" s="96"/>
      <c r="E432" s="96"/>
      <c r="F432" s="93"/>
      <c r="I432" t="s">
        <v>27</v>
      </c>
      <c r="J432" t="s">
        <v>618</v>
      </c>
      <c r="M432" s="73"/>
      <c r="N432" s="73"/>
      <c r="O432" s="71"/>
    </row>
    <row r="433" spans="1:18" s="6" customFormat="1" ht="15" customHeight="1" x14ac:dyDescent="0.25">
      <c r="A433" s="80">
        <f>$A$2+113</f>
        <v>114</v>
      </c>
      <c r="B433" s="97">
        <v>19</v>
      </c>
      <c r="C433" s="94">
        <v>5</v>
      </c>
      <c r="D433" s="94">
        <v>1725</v>
      </c>
      <c r="E433" s="94">
        <v>354</v>
      </c>
      <c r="F433" s="91">
        <v>359</v>
      </c>
      <c r="G433" s="20" t="s">
        <v>621</v>
      </c>
      <c r="H433" s="20" t="s">
        <v>622</v>
      </c>
      <c r="J433" s="6" t="s">
        <v>621</v>
      </c>
      <c r="M433" s="72" t="s">
        <v>620</v>
      </c>
      <c r="N433" s="72" t="s">
        <v>53</v>
      </c>
      <c r="O433" s="70" t="s">
        <v>624</v>
      </c>
      <c r="P433" s="6" t="s">
        <v>625</v>
      </c>
      <c r="Q433" s="8"/>
      <c r="R433" s="8"/>
    </row>
    <row r="434" spans="1:18" x14ac:dyDescent="0.25">
      <c r="A434" s="87"/>
      <c r="B434" s="98"/>
      <c r="C434" s="95"/>
      <c r="D434" s="95"/>
      <c r="E434" s="95"/>
      <c r="F434" s="92"/>
      <c r="J434" t="s">
        <v>622</v>
      </c>
      <c r="L434" t="s">
        <v>623</v>
      </c>
      <c r="M434" s="83"/>
      <c r="N434" s="83"/>
      <c r="O434" s="82"/>
    </row>
    <row r="435" spans="1:18" x14ac:dyDescent="0.25">
      <c r="A435" s="81"/>
      <c r="B435" s="99"/>
      <c r="C435" s="96"/>
      <c r="D435" s="96"/>
      <c r="E435" s="96"/>
      <c r="F435" s="93"/>
      <c r="J435" t="s">
        <v>626</v>
      </c>
      <c r="L435" t="s">
        <v>627</v>
      </c>
      <c r="M435" s="73"/>
      <c r="N435" s="73"/>
      <c r="O435" s="71"/>
    </row>
    <row r="436" spans="1:18" s="6" customFormat="1" x14ac:dyDescent="0.25">
      <c r="A436" s="80">
        <f>$A$2+114</f>
        <v>115</v>
      </c>
      <c r="B436" s="97">
        <v>19</v>
      </c>
      <c r="C436" s="94">
        <v>5</v>
      </c>
      <c r="D436" s="94">
        <v>1725</v>
      </c>
      <c r="E436" s="94">
        <v>355</v>
      </c>
      <c r="F436" s="91">
        <v>360</v>
      </c>
      <c r="G436" s="20"/>
      <c r="H436" s="20"/>
      <c r="J436" s="6" t="s">
        <v>628</v>
      </c>
      <c r="L436" s="6" t="s">
        <v>629</v>
      </c>
      <c r="M436" s="72" t="s">
        <v>620</v>
      </c>
      <c r="N436" s="72" t="s">
        <v>53</v>
      </c>
      <c r="O436" s="70" t="s">
        <v>636</v>
      </c>
      <c r="P436" s="6" t="s">
        <v>635</v>
      </c>
      <c r="Q436" s="8"/>
      <c r="R436" s="8"/>
    </row>
    <row r="437" spans="1:18" x14ac:dyDescent="0.25">
      <c r="A437" s="87"/>
      <c r="B437" s="98"/>
      <c r="C437" s="95"/>
      <c r="D437" s="95"/>
      <c r="E437" s="95"/>
      <c r="F437" s="92"/>
      <c r="J437" t="s">
        <v>630</v>
      </c>
      <c r="M437" s="83"/>
      <c r="N437" s="83"/>
      <c r="O437" s="82"/>
    </row>
    <row r="438" spans="1:18" x14ac:dyDescent="0.25">
      <c r="A438" s="87"/>
      <c r="B438" s="98"/>
      <c r="C438" s="95"/>
      <c r="D438" s="95"/>
      <c r="E438" s="95"/>
      <c r="F438" s="92"/>
      <c r="J438" t="s">
        <v>631</v>
      </c>
      <c r="L438" t="s">
        <v>632</v>
      </c>
      <c r="M438" s="83"/>
      <c r="N438" s="83"/>
      <c r="O438" s="82"/>
    </row>
    <row r="439" spans="1:18" x14ac:dyDescent="0.25">
      <c r="A439" s="81"/>
      <c r="B439" s="99"/>
      <c r="C439" s="96"/>
      <c r="D439" s="96"/>
      <c r="E439" s="96"/>
      <c r="F439" s="93"/>
      <c r="J439" t="s">
        <v>633</v>
      </c>
      <c r="L439" t="s">
        <v>634</v>
      </c>
      <c r="M439" s="73"/>
      <c r="N439" s="73"/>
      <c r="O439" s="71"/>
    </row>
    <row r="440" spans="1:18" s="6" customFormat="1" x14ac:dyDescent="0.25">
      <c r="A440" s="80">
        <f>$A$2+115</f>
        <v>116</v>
      </c>
      <c r="B440" s="97">
        <v>19</v>
      </c>
      <c r="C440" s="94">
        <v>5</v>
      </c>
      <c r="D440" s="94">
        <v>1725</v>
      </c>
      <c r="E440" s="94">
        <v>355</v>
      </c>
      <c r="F440" s="91">
        <v>360</v>
      </c>
      <c r="G440" s="20"/>
      <c r="H440" s="20"/>
      <c r="J440" s="6" t="s">
        <v>637</v>
      </c>
      <c r="M440" s="72" t="s">
        <v>656</v>
      </c>
      <c r="N440" s="72"/>
      <c r="O440" s="70" t="s">
        <v>639</v>
      </c>
      <c r="P440" s="6" t="s">
        <v>640</v>
      </c>
      <c r="Q440" s="8"/>
      <c r="R440" s="8"/>
    </row>
    <row r="441" spans="1:18" x14ac:dyDescent="0.25">
      <c r="A441" s="81"/>
      <c r="B441" s="99"/>
      <c r="C441" s="96"/>
      <c r="D441" s="96"/>
      <c r="E441" s="96"/>
      <c r="F441" s="93"/>
      <c r="J441" t="s">
        <v>621</v>
      </c>
      <c r="L441" t="s">
        <v>638</v>
      </c>
      <c r="M441" s="73"/>
      <c r="N441" s="73"/>
      <c r="O441" s="71"/>
    </row>
    <row r="442" spans="1:18" s="6" customFormat="1" x14ac:dyDescent="0.25">
      <c r="A442" s="80">
        <f>$A$2+116</f>
        <v>117</v>
      </c>
      <c r="B442" s="97">
        <v>19</v>
      </c>
      <c r="C442" s="94">
        <v>5</v>
      </c>
      <c r="D442" s="94">
        <v>1725</v>
      </c>
      <c r="E442" s="94">
        <v>355</v>
      </c>
      <c r="F442" s="91">
        <v>360</v>
      </c>
      <c r="G442" s="20" t="s">
        <v>641</v>
      </c>
      <c r="H442" s="20" t="s">
        <v>626</v>
      </c>
      <c r="J442" s="6" t="s">
        <v>626</v>
      </c>
      <c r="M442" s="72" t="s">
        <v>642</v>
      </c>
      <c r="N442" s="72" t="s">
        <v>20</v>
      </c>
      <c r="O442" s="70" t="s">
        <v>639</v>
      </c>
      <c r="Q442" s="8"/>
      <c r="R442" s="8"/>
    </row>
    <row r="443" spans="1:18" x14ac:dyDescent="0.25">
      <c r="A443" s="81"/>
      <c r="B443" s="99"/>
      <c r="C443" s="96"/>
      <c r="D443" s="96"/>
      <c r="E443" s="96"/>
      <c r="F443" s="93"/>
      <c r="J443" t="s">
        <v>621</v>
      </c>
      <c r="M443" s="73"/>
      <c r="N443" s="73"/>
      <c r="O443" s="71"/>
    </row>
    <row r="444" spans="1:18" s="6" customFormat="1" x14ac:dyDescent="0.25">
      <c r="A444" s="80">
        <f>$A$2+117</f>
        <v>118</v>
      </c>
      <c r="B444" s="97">
        <v>7</v>
      </c>
      <c r="C444" s="94">
        <v>6</v>
      </c>
      <c r="D444" s="94">
        <v>1725</v>
      </c>
      <c r="E444" s="94">
        <v>355</v>
      </c>
      <c r="F444" s="91">
        <v>360</v>
      </c>
      <c r="G444" s="20" t="s">
        <v>644</v>
      </c>
      <c r="H444" s="20" t="s">
        <v>643</v>
      </c>
      <c r="I444" s="6" t="s">
        <v>103</v>
      </c>
      <c r="J444" s="6" t="s">
        <v>643</v>
      </c>
      <c r="M444" s="72"/>
      <c r="N444" s="72" t="s">
        <v>344</v>
      </c>
      <c r="O444" s="70"/>
      <c r="Q444" s="8"/>
      <c r="R444" s="8"/>
    </row>
    <row r="445" spans="1:18" x14ac:dyDescent="0.25">
      <c r="A445" s="81"/>
      <c r="B445" s="99"/>
      <c r="C445" s="96"/>
      <c r="D445" s="96"/>
      <c r="E445" s="96"/>
      <c r="F445" s="93"/>
      <c r="I445" t="s">
        <v>27</v>
      </c>
      <c r="J445" t="s">
        <v>644</v>
      </c>
      <c r="M445" s="73"/>
      <c r="N445" s="73"/>
      <c r="O445" s="71"/>
    </row>
    <row r="446" spans="1:18" s="6" customFormat="1" x14ac:dyDescent="0.25">
      <c r="A446" s="80">
        <f>$A$2+118</f>
        <v>119</v>
      </c>
      <c r="B446" s="97">
        <v>22</v>
      </c>
      <c r="C446" s="94">
        <v>6</v>
      </c>
      <c r="D446" s="94">
        <v>1725</v>
      </c>
      <c r="E446" s="94">
        <v>356</v>
      </c>
      <c r="F446" s="91">
        <v>361</v>
      </c>
      <c r="G446" s="20" t="s">
        <v>645</v>
      </c>
      <c r="H446" s="20" t="s">
        <v>646</v>
      </c>
      <c r="J446" s="6" t="s">
        <v>645</v>
      </c>
      <c r="M446" s="72" t="s">
        <v>667</v>
      </c>
      <c r="N446" s="72" t="s">
        <v>84</v>
      </c>
      <c r="O446" s="70" t="s">
        <v>650</v>
      </c>
      <c r="P446" s="6" t="s">
        <v>649</v>
      </c>
      <c r="Q446" s="8"/>
      <c r="R446" s="8"/>
    </row>
    <row r="447" spans="1:18" x14ac:dyDescent="0.25">
      <c r="A447" s="87"/>
      <c r="B447" s="98"/>
      <c r="C447" s="95"/>
      <c r="D447" s="95"/>
      <c r="E447" s="95"/>
      <c r="F447" s="92"/>
      <c r="J447" t="s">
        <v>646</v>
      </c>
      <c r="K447" t="s">
        <v>647</v>
      </c>
      <c r="M447" s="83"/>
      <c r="N447" s="83"/>
      <c r="O447" s="82"/>
    </row>
    <row r="448" spans="1:18" x14ac:dyDescent="0.25">
      <c r="A448" s="81"/>
      <c r="B448" s="99"/>
      <c r="C448" s="96"/>
      <c r="D448" s="96"/>
      <c r="E448" s="96"/>
      <c r="F448" s="93"/>
      <c r="J448" t="s">
        <v>648</v>
      </c>
      <c r="L448" t="s">
        <v>389</v>
      </c>
      <c r="M448" s="73"/>
      <c r="N448" s="73"/>
      <c r="O448" s="71"/>
    </row>
    <row r="449" spans="1:18" s="6" customFormat="1" x14ac:dyDescent="0.25">
      <c r="A449" s="80">
        <f>$A$2+119</f>
        <v>120</v>
      </c>
      <c r="B449" s="97">
        <v>22</v>
      </c>
      <c r="C449" s="94">
        <v>6</v>
      </c>
      <c r="D449" s="94">
        <v>1725</v>
      </c>
      <c r="E449" s="94">
        <v>356</v>
      </c>
      <c r="F449" s="91">
        <v>361</v>
      </c>
      <c r="G449" s="20" t="s">
        <v>651</v>
      </c>
      <c r="H449" s="20" t="s">
        <v>601</v>
      </c>
      <c r="J449" s="6" t="s">
        <v>458</v>
      </c>
      <c r="K449" s="6" t="s">
        <v>651</v>
      </c>
      <c r="M449" s="72" t="s">
        <v>206</v>
      </c>
      <c r="N449" s="72" t="s">
        <v>53</v>
      </c>
      <c r="O449" s="70" t="s">
        <v>652</v>
      </c>
      <c r="Q449" s="8"/>
      <c r="R449" s="8"/>
    </row>
    <row r="450" spans="1:18" x14ac:dyDescent="0.25">
      <c r="A450" s="81"/>
      <c r="B450" s="99"/>
      <c r="C450" s="96"/>
      <c r="D450" s="96"/>
      <c r="E450" s="96"/>
      <c r="F450" s="93"/>
      <c r="J450" t="s">
        <v>601</v>
      </c>
      <c r="M450" s="73"/>
      <c r="N450" s="73"/>
      <c r="O450" s="71"/>
    </row>
    <row r="451" spans="1:18" s="6" customFormat="1" ht="30" customHeight="1" x14ac:dyDescent="0.25">
      <c r="A451" s="25">
        <f>$A$2+120</f>
        <v>121</v>
      </c>
      <c r="B451" s="4">
        <v>22</v>
      </c>
      <c r="C451" s="4">
        <v>6</v>
      </c>
      <c r="D451" s="4">
        <v>1725</v>
      </c>
      <c r="E451" s="4">
        <v>356</v>
      </c>
      <c r="F451" s="3">
        <v>361</v>
      </c>
      <c r="G451" s="20" t="s">
        <v>653</v>
      </c>
      <c r="H451" s="20" t="s">
        <v>601</v>
      </c>
      <c r="J451" s="6" t="s">
        <v>654</v>
      </c>
      <c r="M451" s="27" t="s">
        <v>655</v>
      </c>
      <c r="N451" s="27" t="s">
        <v>20</v>
      </c>
      <c r="O451" s="34" t="s">
        <v>657</v>
      </c>
      <c r="Q451" s="8"/>
      <c r="R451" s="8"/>
    </row>
    <row r="452" spans="1:18" s="6" customFormat="1" x14ac:dyDescent="0.25">
      <c r="A452" s="80">
        <f>$A$2+121</f>
        <v>122</v>
      </c>
      <c r="B452" s="97">
        <v>22</v>
      </c>
      <c r="C452" s="94">
        <v>6</v>
      </c>
      <c r="D452" s="94">
        <v>1725</v>
      </c>
      <c r="E452" s="94">
        <v>356</v>
      </c>
      <c r="F452" s="91">
        <v>361</v>
      </c>
      <c r="G452" s="20" t="s">
        <v>626</v>
      </c>
      <c r="H452" s="20" t="s">
        <v>64</v>
      </c>
      <c r="I452" s="6" t="s">
        <v>27</v>
      </c>
      <c r="J452" s="6" t="s">
        <v>626</v>
      </c>
      <c r="M452" s="72" t="s">
        <v>659</v>
      </c>
      <c r="N452" s="72" t="s">
        <v>53</v>
      </c>
      <c r="O452" s="70" t="s">
        <v>660</v>
      </c>
      <c r="Q452" s="8"/>
      <c r="R452" s="8"/>
    </row>
    <row r="453" spans="1:18" x14ac:dyDescent="0.25">
      <c r="A453" s="87"/>
      <c r="B453" s="98"/>
      <c r="C453" s="95"/>
      <c r="D453" s="95"/>
      <c r="E453" s="95"/>
      <c r="F453" s="92"/>
      <c r="G453" s="18" t="s">
        <v>658</v>
      </c>
      <c r="J453" t="s">
        <v>658</v>
      </c>
      <c r="M453" s="83"/>
      <c r="N453" s="83"/>
      <c r="O453" s="82"/>
    </row>
    <row r="454" spans="1:18" x14ac:dyDescent="0.25">
      <c r="A454" s="81"/>
      <c r="B454" s="99"/>
      <c r="C454" s="96"/>
      <c r="D454" s="96"/>
      <c r="E454" s="96"/>
      <c r="F454" s="93"/>
      <c r="I454" t="s">
        <v>27</v>
      </c>
      <c r="J454" t="s">
        <v>64</v>
      </c>
      <c r="M454" s="73"/>
      <c r="N454" s="73"/>
      <c r="O454" s="71"/>
    </row>
    <row r="455" spans="1:18" s="6" customFormat="1" x14ac:dyDescent="0.25">
      <c r="A455" s="80">
        <f>$A$2+122</f>
        <v>123</v>
      </c>
      <c r="B455" s="97">
        <v>27</v>
      </c>
      <c r="C455" s="94">
        <v>6</v>
      </c>
      <c r="D455" s="94">
        <v>1725</v>
      </c>
      <c r="E455" s="94">
        <v>357</v>
      </c>
      <c r="F455" s="91">
        <v>362</v>
      </c>
      <c r="G455" s="20" t="s">
        <v>677</v>
      </c>
      <c r="H455" s="20" t="s">
        <v>669</v>
      </c>
      <c r="I455" s="6" t="s">
        <v>27</v>
      </c>
      <c r="J455" s="6" t="s">
        <v>661</v>
      </c>
      <c r="M455" s="72" t="s">
        <v>667</v>
      </c>
      <c r="N455" s="72" t="s">
        <v>9</v>
      </c>
      <c r="O455" s="70" t="s">
        <v>668</v>
      </c>
      <c r="Q455" s="8"/>
      <c r="R455" s="8"/>
    </row>
    <row r="456" spans="1:18" x14ac:dyDescent="0.25">
      <c r="A456" s="87"/>
      <c r="B456" s="98"/>
      <c r="C456" s="95"/>
      <c r="D456" s="95"/>
      <c r="E456" s="95"/>
      <c r="F456" s="92"/>
      <c r="I456" t="s">
        <v>103</v>
      </c>
      <c r="J456" t="s">
        <v>662</v>
      </c>
      <c r="M456" s="83"/>
      <c r="N456" s="83"/>
      <c r="O456" s="82"/>
    </row>
    <row r="457" spans="1:18" x14ac:dyDescent="0.25">
      <c r="A457" s="87"/>
      <c r="B457" s="98"/>
      <c r="C457" s="95"/>
      <c r="D457" s="95"/>
      <c r="E457" s="95"/>
      <c r="F457" s="92"/>
      <c r="I457" t="s">
        <v>27</v>
      </c>
      <c r="J457" t="s">
        <v>320</v>
      </c>
      <c r="L457" t="s">
        <v>664</v>
      </c>
      <c r="M457" s="83"/>
      <c r="N457" s="83"/>
      <c r="O457" s="82"/>
    </row>
    <row r="458" spans="1:18" x14ac:dyDescent="0.25">
      <c r="A458" s="87"/>
      <c r="B458" s="98"/>
      <c r="C458" s="95"/>
      <c r="D458" s="95"/>
      <c r="E458" s="95"/>
      <c r="F458" s="92"/>
      <c r="J458" t="s">
        <v>663</v>
      </c>
      <c r="L458" t="s">
        <v>389</v>
      </c>
      <c r="M458" s="83"/>
      <c r="N458" s="83"/>
      <c r="O458" s="82"/>
    </row>
    <row r="459" spans="1:18" x14ac:dyDescent="0.25">
      <c r="A459" s="81"/>
      <c r="B459" s="99"/>
      <c r="C459" s="96"/>
      <c r="D459" s="96"/>
      <c r="E459" s="96"/>
      <c r="F459" s="93"/>
      <c r="J459" t="s">
        <v>665</v>
      </c>
      <c r="L459" t="s">
        <v>666</v>
      </c>
      <c r="M459" s="73"/>
      <c r="N459" s="73"/>
      <c r="O459" s="71"/>
    </row>
    <row r="460" spans="1:18" s="6" customFormat="1" x14ac:dyDescent="0.25">
      <c r="A460" s="80">
        <f>$A$2+123</f>
        <v>124</v>
      </c>
      <c r="B460" s="97">
        <v>27</v>
      </c>
      <c r="C460" s="94">
        <v>6</v>
      </c>
      <c r="D460" s="94">
        <v>1725</v>
      </c>
      <c r="E460" s="94">
        <v>357</v>
      </c>
      <c r="F460" s="91">
        <v>362</v>
      </c>
      <c r="G460" s="20"/>
      <c r="H460" s="20"/>
      <c r="J460" s="6" t="s">
        <v>669</v>
      </c>
      <c r="L460" s="6" t="s">
        <v>671</v>
      </c>
      <c r="M460" s="72" t="s">
        <v>667</v>
      </c>
      <c r="N460" s="72" t="s">
        <v>53</v>
      </c>
      <c r="O460" s="70" t="s">
        <v>674</v>
      </c>
      <c r="P460" s="6" t="s">
        <v>673</v>
      </c>
      <c r="Q460" s="8"/>
      <c r="R460" s="8"/>
    </row>
    <row r="461" spans="1:18" x14ac:dyDescent="0.25">
      <c r="A461" s="81"/>
      <c r="B461" s="99"/>
      <c r="C461" s="96"/>
      <c r="D461" s="96"/>
      <c r="E461" s="96"/>
      <c r="F461" s="93"/>
      <c r="I461" t="s">
        <v>103</v>
      </c>
      <c r="J461" t="s">
        <v>670</v>
      </c>
      <c r="L461" t="s">
        <v>672</v>
      </c>
      <c r="M461" s="73"/>
      <c r="N461" s="73"/>
      <c r="O461" s="71"/>
    </row>
    <row r="462" spans="1:18" s="6" customFormat="1" x14ac:dyDescent="0.25">
      <c r="A462" s="80">
        <f>$A$2+124</f>
        <v>125</v>
      </c>
      <c r="B462" s="97">
        <v>27</v>
      </c>
      <c r="C462" s="94">
        <v>6</v>
      </c>
      <c r="D462" s="94">
        <v>1725</v>
      </c>
      <c r="E462" s="94">
        <v>357</v>
      </c>
      <c r="F462" s="91">
        <v>362</v>
      </c>
      <c r="G462" s="20" t="s">
        <v>675</v>
      </c>
      <c r="H462" s="20" t="s">
        <v>676</v>
      </c>
      <c r="I462" s="6" t="s">
        <v>27</v>
      </c>
      <c r="J462" s="6" t="s">
        <v>675</v>
      </c>
      <c r="M462" s="72"/>
      <c r="N462" s="72" t="s">
        <v>344</v>
      </c>
      <c r="O462" s="70"/>
      <c r="Q462" s="8"/>
      <c r="R462" s="8"/>
    </row>
    <row r="463" spans="1:18" x14ac:dyDescent="0.25">
      <c r="A463" s="81"/>
      <c r="B463" s="99"/>
      <c r="C463" s="96"/>
      <c r="D463" s="96"/>
      <c r="E463" s="96"/>
      <c r="F463" s="93"/>
      <c r="I463" t="s">
        <v>27</v>
      </c>
      <c r="J463" t="s">
        <v>676</v>
      </c>
      <c r="M463" s="73"/>
      <c r="N463" s="73"/>
      <c r="O463" s="71"/>
    </row>
    <row r="464" spans="1:18" s="6" customFormat="1" x14ac:dyDescent="0.25">
      <c r="A464" s="80">
        <f>$A$2+125</f>
        <v>126</v>
      </c>
      <c r="B464" s="97">
        <v>27</v>
      </c>
      <c r="C464" s="94">
        <v>6</v>
      </c>
      <c r="D464" s="94">
        <v>1725</v>
      </c>
      <c r="E464" s="94">
        <v>358</v>
      </c>
      <c r="F464" s="91">
        <v>363</v>
      </c>
      <c r="G464" s="20" t="s">
        <v>677</v>
      </c>
      <c r="H464" s="20" t="s">
        <v>669</v>
      </c>
      <c r="I464" s="6" t="s">
        <v>103</v>
      </c>
      <c r="J464" s="6" t="s">
        <v>677</v>
      </c>
      <c r="K464" s="6" t="s">
        <v>647</v>
      </c>
      <c r="M464" s="72" t="s">
        <v>667</v>
      </c>
      <c r="N464" s="72" t="s">
        <v>53</v>
      </c>
      <c r="O464" s="70" t="s">
        <v>678</v>
      </c>
      <c r="Q464" s="8"/>
      <c r="R464" s="8"/>
    </row>
    <row r="465" spans="1:18" x14ac:dyDescent="0.25">
      <c r="A465" s="81"/>
      <c r="B465" s="99"/>
      <c r="C465" s="96"/>
      <c r="D465" s="96"/>
      <c r="E465" s="96"/>
      <c r="F465" s="93"/>
      <c r="J465" t="s">
        <v>669</v>
      </c>
      <c r="M465" s="73"/>
      <c r="N465" s="73"/>
      <c r="O465" s="71"/>
    </row>
    <row r="466" spans="1:18" s="6" customFormat="1" x14ac:dyDescent="0.25">
      <c r="A466" s="80">
        <f>$A$2+126</f>
        <v>127</v>
      </c>
      <c r="B466" s="97">
        <v>16</v>
      </c>
      <c r="C466" s="94">
        <v>7</v>
      </c>
      <c r="D466" s="94">
        <v>1725</v>
      </c>
      <c r="E466" s="94">
        <v>358</v>
      </c>
      <c r="F466" s="91">
        <v>363</v>
      </c>
      <c r="G466" s="20" t="s">
        <v>595</v>
      </c>
      <c r="H466" s="20" t="s">
        <v>597</v>
      </c>
      <c r="I466" s="6" t="s">
        <v>103</v>
      </c>
      <c r="J466" s="6" t="s">
        <v>595</v>
      </c>
      <c r="K466" s="6" t="s">
        <v>585</v>
      </c>
      <c r="M466" s="72"/>
      <c r="N466" s="72" t="s">
        <v>344</v>
      </c>
      <c r="O466" s="70"/>
      <c r="Q466" s="8"/>
      <c r="R466" s="8"/>
    </row>
    <row r="467" spans="1:18" x14ac:dyDescent="0.25">
      <c r="A467" s="81"/>
      <c r="B467" s="99"/>
      <c r="C467" s="96"/>
      <c r="D467" s="96"/>
      <c r="E467" s="96"/>
      <c r="F467" s="93"/>
      <c r="I467" t="s">
        <v>27</v>
      </c>
      <c r="J467" t="s">
        <v>597</v>
      </c>
      <c r="M467" s="73"/>
      <c r="N467" s="73"/>
      <c r="O467" s="71"/>
    </row>
    <row r="468" spans="1:18" s="6" customFormat="1" x14ac:dyDescent="0.25">
      <c r="A468" s="80">
        <f>$A$2+127</f>
        <v>128</v>
      </c>
      <c r="B468" s="97">
        <v>20</v>
      </c>
      <c r="C468" s="94">
        <v>7</v>
      </c>
      <c r="D468" s="94">
        <v>1725</v>
      </c>
      <c r="E468" s="94">
        <v>359</v>
      </c>
      <c r="F468" s="91">
        <v>364</v>
      </c>
      <c r="G468" s="20" t="s">
        <v>679</v>
      </c>
      <c r="H468" s="20" t="s">
        <v>186</v>
      </c>
      <c r="I468" s="6" t="s">
        <v>27</v>
      </c>
      <c r="J468" s="6" t="s">
        <v>679</v>
      </c>
      <c r="M468" s="72" t="s">
        <v>244</v>
      </c>
      <c r="N468" s="72" t="s">
        <v>84</v>
      </c>
      <c r="O468" s="70" t="s">
        <v>682</v>
      </c>
      <c r="P468" s="6" t="s">
        <v>683</v>
      </c>
      <c r="Q468" s="8"/>
      <c r="R468" s="8"/>
    </row>
    <row r="469" spans="1:18" x14ac:dyDescent="0.25">
      <c r="A469" s="87"/>
      <c r="B469" s="98"/>
      <c r="C469" s="95"/>
      <c r="D469" s="95"/>
      <c r="E469" s="95"/>
      <c r="F469" s="92"/>
      <c r="J469" t="s">
        <v>680</v>
      </c>
      <c r="L469" t="s">
        <v>684</v>
      </c>
      <c r="M469" s="83"/>
      <c r="N469" s="83"/>
      <c r="O469" s="82"/>
    </row>
    <row r="470" spans="1:18" x14ac:dyDescent="0.25">
      <c r="A470" s="81"/>
      <c r="B470" s="99"/>
      <c r="C470" s="96"/>
      <c r="D470" s="96"/>
      <c r="E470" s="96"/>
      <c r="F470" s="93"/>
      <c r="I470" t="s">
        <v>103</v>
      </c>
      <c r="J470" t="s">
        <v>186</v>
      </c>
      <c r="K470" t="s">
        <v>681</v>
      </c>
      <c r="M470" s="73"/>
      <c r="N470" s="73"/>
      <c r="O470" s="71"/>
    </row>
    <row r="471" spans="1:18" s="6" customFormat="1" x14ac:dyDescent="0.25">
      <c r="A471" s="80">
        <f>$A$2+128</f>
        <v>129</v>
      </c>
      <c r="B471" s="97">
        <v>20</v>
      </c>
      <c r="C471" s="94">
        <v>7</v>
      </c>
      <c r="D471" s="94">
        <v>1725</v>
      </c>
      <c r="E471" s="94">
        <v>359</v>
      </c>
      <c r="F471" s="91">
        <v>364</v>
      </c>
      <c r="G471" s="20" t="s">
        <v>685</v>
      </c>
      <c r="H471" s="20" t="s">
        <v>686</v>
      </c>
      <c r="I471" s="6" t="s">
        <v>31</v>
      </c>
      <c r="J471" s="6" t="s">
        <v>685</v>
      </c>
      <c r="M471" s="72" t="s">
        <v>244</v>
      </c>
      <c r="N471" s="72" t="s">
        <v>20</v>
      </c>
      <c r="O471" s="70" t="s">
        <v>687</v>
      </c>
      <c r="Q471" s="8"/>
      <c r="R471" s="8"/>
    </row>
    <row r="472" spans="1:18" x14ac:dyDescent="0.25">
      <c r="A472" s="81"/>
      <c r="B472" s="99"/>
      <c r="C472" s="96"/>
      <c r="D472" s="96"/>
      <c r="E472" s="96"/>
      <c r="F472" s="93"/>
      <c r="J472" t="s">
        <v>686</v>
      </c>
      <c r="M472" s="73"/>
      <c r="N472" s="73"/>
      <c r="O472" s="71"/>
    </row>
    <row r="473" spans="1:18" s="6" customFormat="1" x14ac:dyDescent="0.25">
      <c r="A473" s="80">
        <f>$A$2+129</f>
        <v>130</v>
      </c>
      <c r="B473" s="97">
        <v>3</v>
      </c>
      <c r="C473" s="94">
        <v>8</v>
      </c>
      <c r="D473" s="94">
        <v>1725</v>
      </c>
      <c r="E473" s="94">
        <v>359</v>
      </c>
      <c r="F473" s="91">
        <v>364</v>
      </c>
      <c r="G473" s="20" t="s">
        <v>298</v>
      </c>
      <c r="H473" s="20" t="s">
        <v>596</v>
      </c>
      <c r="I473" s="6" t="s">
        <v>27</v>
      </c>
      <c r="J473" s="6" t="s">
        <v>298</v>
      </c>
      <c r="M473" s="72" t="s">
        <v>244</v>
      </c>
      <c r="N473" s="72" t="s">
        <v>9</v>
      </c>
      <c r="O473" s="70" t="s">
        <v>689</v>
      </c>
      <c r="Q473" s="8"/>
      <c r="R473" s="8"/>
    </row>
    <row r="474" spans="1:18" x14ac:dyDescent="0.25">
      <c r="A474" s="87"/>
      <c r="B474" s="98"/>
      <c r="C474" s="95"/>
      <c r="D474" s="95"/>
      <c r="E474" s="95"/>
      <c r="F474" s="92"/>
      <c r="I474" t="s">
        <v>27</v>
      </c>
      <c r="J474" t="s">
        <v>596</v>
      </c>
      <c r="M474" s="83"/>
      <c r="N474" s="83"/>
      <c r="O474" s="82"/>
    </row>
    <row r="475" spans="1:18" x14ac:dyDescent="0.25">
      <c r="A475" s="81"/>
      <c r="B475" s="99"/>
      <c r="C475" s="96"/>
      <c r="D475" s="96"/>
      <c r="E475" s="96"/>
      <c r="F475" s="93"/>
      <c r="I475" t="s">
        <v>27</v>
      </c>
      <c r="J475" t="s">
        <v>171</v>
      </c>
      <c r="L475" t="s">
        <v>688</v>
      </c>
      <c r="M475" s="73"/>
      <c r="N475" s="73"/>
      <c r="O475" s="71"/>
    </row>
    <row r="476" spans="1:18" s="6" customFormat="1" x14ac:dyDescent="0.25">
      <c r="A476" s="80">
        <f>$A$2+130</f>
        <v>131</v>
      </c>
      <c r="B476" s="97">
        <v>17</v>
      </c>
      <c r="C476" s="94">
        <v>8</v>
      </c>
      <c r="D476" s="94">
        <v>1725</v>
      </c>
      <c r="E476" s="94">
        <v>360</v>
      </c>
      <c r="F476" s="91">
        <v>365</v>
      </c>
      <c r="G476" s="20"/>
      <c r="H476" s="20"/>
      <c r="J476" s="6" t="s">
        <v>690</v>
      </c>
      <c r="L476" s="6" t="s">
        <v>694</v>
      </c>
      <c r="M476" s="72" t="s">
        <v>692</v>
      </c>
      <c r="N476" s="72" t="s">
        <v>9</v>
      </c>
      <c r="O476" s="70" t="s">
        <v>693</v>
      </c>
      <c r="Q476" s="8"/>
      <c r="R476" s="8"/>
    </row>
    <row r="477" spans="1:18" x14ac:dyDescent="0.25">
      <c r="A477" s="87"/>
      <c r="B477" s="98"/>
      <c r="C477" s="95"/>
      <c r="D477" s="95"/>
      <c r="E477" s="95"/>
      <c r="F477" s="92"/>
      <c r="J477" t="s">
        <v>691</v>
      </c>
      <c r="L477" t="s">
        <v>119</v>
      </c>
      <c r="M477" s="83"/>
      <c r="N477" s="83"/>
      <c r="O477" s="82"/>
    </row>
    <row r="478" spans="1:18" x14ac:dyDescent="0.25">
      <c r="A478" s="87"/>
      <c r="B478" s="98"/>
      <c r="C478" s="95"/>
      <c r="D478" s="95"/>
      <c r="E478" s="95"/>
      <c r="F478" s="92"/>
      <c r="J478" t="s">
        <v>658</v>
      </c>
      <c r="M478" s="83"/>
      <c r="N478" s="83"/>
      <c r="O478" s="82"/>
    </row>
    <row r="479" spans="1:18" x14ac:dyDescent="0.25">
      <c r="A479" s="81"/>
      <c r="B479" s="99"/>
      <c r="C479" s="96"/>
      <c r="D479" s="96"/>
      <c r="E479" s="96"/>
      <c r="F479" s="93"/>
      <c r="J479" t="s">
        <v>626</v>
      </c>
      <c r="M479" s="73"/>
      <c r="N479" s="73"/>
      <c r="O479" s="71"/>
    </row>
    <row r="480" spans="1:18" s="6" customFormat="1" x14ac:dyDescent="0.25">
      <c r="A480" s="80">
        <f>$A$2+131</f>
        <v>132</v>
      </c>
      <c r="B480" s="97">
        <v>23</v>
      </c>
      <c r="C480" s="94">
        <v>8</v>
      </c>
      <c r="D480" s="94">
        <v>1725</v>
      </c>
      <c r="E480" s="94">
        <v>360</v>
      </c>
      <c r="F480" s="91">
        <v>365</v>
      </c>
      <c r="G480" s="20" t="s">
        <v>695</v>
      </c>
      <c r="H480" s="20" t="s">
        <v>696</v>
      </c>
      <c r="J480" s="6" t="s">
        <v>695</v>
      </c>
      <c r="L480" s="6" t="s">
        <v>697</v>
      </c>
      <c r="M480" s="72" t="s">
        <v>698</v>
      </c>
      <c r="N480" s="72" t="s">
        <v>53</v>
      </c>
      <c r="O480" s="70" t="s">
        <v>700</v>
      </c>
      <c r="Q480" s="8"/>
      <c r="R480" s="8"/>
    </row>
    <row r="481" spans="1:18" x14ac:dyDescent="0.25">
      <c r="A481" s="87"/>
      <c r="B481" s="98"/>
      <c r="C481" s="95"/>
      <c r="D481" s="95"/>
      <c r="E481" s="95"/>
      <c r="F481" s="92"/>
      <c r="J481" t="s">
        <v>696</v>
      </c>
      <c r="M481" s="83"/>
      <c r="N481" s="83"/>
      <c r="O481" s="82"/>
    </row>
    <row r="482" spans="1:18" x14ac:dyDescent="0.25">
      <c r="A482" s="81"/>
      <c r="B482" s="99"/>
      <c r="C482" s="96"/>
      <c r="D482" s="96"/>
      <c r="E482" s="96"/>
      <c r="F482" s="93"/>
      <c r="I482" t="s">
        <v>103</v>
      </c>
      <c r="J482" t="s">
        <v>699</v>
      </c>
      <c r="L482" t="s">
        <v>701</v>
      </c>
      <c r="M482" s="73"/>
      <c r="N482" s="73"/>
      <c r="O482" s="71"/>
    </row>
    <row r="483" spans="1:18" s="6" customFormat="1" x14ac:dyDescent="0.25">
      <c r="A483" s="80">
        <f>$A$2+132</f>
        <v>133</v>
      </c>
      <c r="B483" s="97">
        <v>5</v>
      </c>
      <c r="C483" s="94">
        <v>9</v>
      </c>
      <c r="D483" s="94">
        <v>1725</v>
      </c>
      <c r="E483" s="94">
        <f>F483-5</f>
        <v>361</v>
      </c>
      <c r="F483" s="91">
        <v>366</v>
      </c>
      <c r="G483" s="20" t="s">
        <v>507</v>
      </c>
      <c r="H483" s="20" t="s">
        <v>702</v>
      </c>
      <c r="I483" s="6" t="s">
        <v>27</v>
      </c>
      <c r="J483" s="6" t="s">
        <v>507</v>
      </c>
      <c r="M483" s="72" t="s">
        <v>159</v>
      </c>
      <c r="N483" s="72" t="s">
        <v>9</v>
      </c>
      <c r="O483" s="70" t="s">
        <v>716</v>
      </c>
      <c r="Q483" s="8"/>
      <c r="R483" s="8"/>
    </row>
    <row r="484" spans="1:18" x14ac:dyDescent="0.25">
      <c r="A484" s="87"/>
      <c r="B484" s="98"/>
      <c r="C484" s="95"/>
      <c r="D484" s="95"/>
      <c r="E484" s="95"/>
      <c r="F484" s="92"/>
      <c r="J484" t="s">
        <v>702</v>
      </c>
      <c r="M484" s="83"/>
      <c r="N484" s="83"/>
      <c r="O484" s="82"/>
      <c r="P484" t="s">
        <v>707</v>
      </c>
    </row>
    <row r="485" spans="1:18" x14ac:dyDescent="0.25">
      <c r="A485" s="87"/>
      <c r="B485" s="98"/>
      <c r="C485" s="95"/>
      <c r="D485" s="95"/>
      <c r="E485" s="95"/>
      <c r="F485" s="92"/>
      <c r="I485" t="s">
        <v>27</v>
      </c>
      <c r="J485" t="s">
        <v>703</v>
      </c>
      <c r="M485" s="83"/>
      <c r="N485" s="83"/>
      <c r="O485" s="82"/>
    </row>
    <row r="486" spans="1:18" x14ac:dyDescent="0.25">
      <c r="A486" s="87"/>
      <c r="B486" s="98"/>
      <c r="C486" s="95"/>
      <c r="D486" s="95"/>
      <c r="E486" s="95"/>
      <c r="F486" s="92"/>
      <c r="J486" t="s">
        <v>458</v>
      </c>
      <c r="K486" t="s">
        <v>704</v>
      </c>
      <c r="L486" t="s">
        <v>713</v>
      </c>
      <c r="M486" s="83"/>
      <c r="N486" s="83"/>
      <c r="O486" s="82"/>
      <c r="P486" t="s">
        <v>705</v>
      </c>
    </row>
    <row r="487" spans="1:18" x14ac:dyDescent="0.25">
      <c r="A487" s="87"/>
      <c r="B487" s="98"/>
      <c r="C487" s="95"/>
      <c r="D487" s="95"/>
      <c r="E487" s="95"/>
      <c r="F487" s="92"/>
      <c r="I487" t="s">
        <v>27</v>
      </c>
      <c r="J487" t="s">
        <v>44</v>
      </c>
      <c r="M487" s="83"/>
      <c r="N487" s="83"/>
      <c r="O487" s="82"/>
      <c r="P487" t="s">
        <v>706</v>
      </c>
    </row>
    <row r="488" spans="1:18" x14ac:dyDescent="0.25">
      <c r="A488" s="87"/>
      <c r="B488" s="98"/>
      <c r="C488" s="95"/>
      <c r="D488" s="95"/>
      <c r="E488" s="95"/>
      <c r="F488" s="92"/>
      <c r="J488" t="s">
        <v>458</v>
      </c>
      <c r="K488" t="s">
        <v>708</v>
      </c>
      <c r="L488" t="s">
        <v>712</v>
      </c>
      <c r="M488" s="83"/>
      <c r="N488" s="83"/>
      <c r="O488" s="82"/>
    </row>
    <row r="489" spans="1:18" x14ac:dyDescent="0.25">
      <c r="A489" s="87"/>
      <c r="B489" s="98"/>
      <c r="C489" s="95"/>
      <c r="D489" s="95"/>
      <c r="E489" s="95"/>
      <c r="F489" s="92"/>
      <c r="J489" t="s">
        <v>458</v>
      </c>
      <c r="K489" t="s">
        <v>709</v>
      </c>
      <c r="M489" s="83"/>
      <c r="N489" s="83"/>
      <c r="O489" s="82"/>
    </row>
    <row r="490" spans="1:18" x14ac:dyDescent="0.25">
      <c r="A490" s="87"/>
      <c r="B490" s="98"/>
      <c r="C490" s="95"/>
      <c r="D490" s="95"/>
      <c r="E490" s="95"/>
      <c r="F490" s="92"/>
      <c r="I490" t="s">
        <v>27</v>
      </c>
      <c r="J490" t="s">
        <v>710</v>
      </c>
      <c r="L490" t="s">
        <v>711</v>
      </c>
      <c r="M490" s="83"/>
      <c r="N490" s="83"/>
      <c r="O490" s="82"/>
      <c r="P490" t="s">
        <v>714</v>
      </c>
    </row>
    <row r="491" spans="1:18" x14ac:dyDescent="0.25">
      <c r="A491" s="87"/>
      <c r="B491" s="98"/>
      <c r="C491" s="95"/>
      <c r="D491" s="95"/>
      <c r="E491" s="95"/>
      <c r="F491" s="92"/>
      <c r="I491" t="s">
        <v>27</v>
      </c>
      <c r="J491" t="s">
        <v>596</v>
      </c>
      <c r="M491" s="83"/>
      <c r="N491" s="83"/>
      <c r="O491" s="82"/>
      <c r="P491" t="s">
        <v>715</v>
      </c>
    </row>
    <row r="492" spans="1:18" x14ac:dyDescent="0.25">
      <c r="A492" s="81"/>
      <c r="B492" s="99"/>
      <c r="C492" s="96"/>
      <c r="D492" s="96"/>
      <c r="E492" s="96"/>
      <c r="F492" s="93"/>
      <c r="I492" t="s">
        <v>27</v>
      </c>
      <c r="J492" t="s">
        <v>320</v>
      </c>
      <c r="M492" s="73"/>
      <c r="N492" s="73"/>
      <c r="O492" s="71"/>
    </row>
    <row r="493" spans="1:18" s="6" customFormat="1" x14ac:dyDescent="0.25">
      <c r="A493" s="80">
        <f>$A$2+133</f>
        <v>134</v>
      </c>
      <c r="B493" s="97">
        <v>5</v>
      </c>
      <c r="C493" s="94">
        <v>9</v>
      </c>
      <c r="D493" s="94">
        <v>1725</v>
      </c>
      <c r="E493" s="94">
        <f>F493-5</f>
        <v>362</v>
      </c>
      <c r="F493" s="91">
        <v>367</v>
      </c>
      <c r="G493" s="20"/>
      <c r="H493" s="20"/>
      <c r="J493" s="6" t="s">
        <v>717</v>
      </c>
      <c r="M493" s="72" t="s">
        <v>159</v>
      </c>
      <c r="N493" s="72" t="s">
        <v>53</v>
      </c>
      <c r="O493" s="70" t="s">
        <v>719</v>
      </c>
      <c r="P493" s="6" t="s">
        <v>720</v>
      </c>
      <c r="Q493" s="8"/>
      <c r="R493" s="8"/>
    </row>
    <row r="494" spans="1:18" x14ac:dyDescent="0.25">
      <c r="A494" s="87"/>
      <c r="B494" s="98"/>
      <c r="C494" s="95"/>
      <c r="D494" s="95"/>
      <c r="E494" s="95"/>
      <c r="F494" s="92"/>
      <c r="J494" t="s">
        <v>718</v>
      </c>
      <c r="K494" t="s">
        <v>704</v>
      </c>
      <c r="M494" s="83"/>
      <c r="N494" s="83"/>
      <c r="O494" s="82"/>
    </row>
    <row r="495" spans="1:18" x14ac:dyDescent="0.25">
      <c r="A495" s="81"/>
      <c r="B495" s="99"/>
      <c r="C495" s="96"/>
      <c r="D495" s="96"/>
      <c r="E495" s="96"/>
      <c r="F495" s="93"/>
      <c r="J495" t="s">
        <v>458</v>
      </c>
      <c r="K495" t="s">
        <v>708</v>
      </c>
      <c r="M495" s="73"/>
      <c r="N495" s="73"/>
      <c r="O495" s="71"/>
    </row>
    <row r="496" spans="1:18" s="6" customFormat="1" x14ac:dyDescent="0.25">
      <c r="A496" s="80">
        <f>$A$2+134</f>
        <v>135</v>
      </c>
      <c r="B496" s="97">
        <v>5</v>
      </c>
      <c r="C496" s="94">
        <v>9</v>
      </c>
      <c r="D496" s="94">
        <v>1725</v>
      </c>
      <c r="E496" s="94">
        <f>F496-5</f>
        <v>363</v>
      </c>
      <c r="F496" s="91">
        <v>368</v>
      </c>
      <c r="G496" s="20"/>
      <c r="H496" s="20"/>
      <c r="J496" s="6" t="s">
        <v>721</v>
      </c>
      <c r="M496" s="72" t="s">
        <v>277</v>
      </c>
      <c r="N496" s="72" t="s">
        <v>53</v>
      </c>
      <c r="O496" s="70" t="s">
        <v>723</v>
      </c>
      <c r="Q496" s="8"/>
      <c r="R496" s="8"/>
    </row>
    <row r="497" spans="1:18" x14ac:dyDescent="0.25">
      <c r="A497" s="81"/>
      <c r="B497" s="99"/>
      <c r="C497" s="96"/>
      <c r="D497" s="96"/>
      <c r="E497" s="96"/>
      <c r="F497" s="93"/>
      <c r="I497" t="s">
        <v>339</v>
      </c>
      <c r="J497" t="s">
        <v>722</v>
      </c>
      <c r="M497" s="73"/>
      <c r="N497" s="73"/>
      <c r="O497" s="71"/>
    </row>
    <row r="498" spans="1:18" s="6" customFormat="1" ht="15" customHeight="1" x14ac:dyDescent="0.25">
      <c r="A498" s="25">
        <f>$A$2+135</f>
        <v>136</v>
      </c>
      <c r="B498" s="4">
        <v>5</v>
      </c>
      <c r="C498" s="4">
        <v>9</v>
      </c>
      <c r="D498" s="4">
        <v>1725</v>
      </c>
      <c r="E498" s="4">
        <f>F498-5</f>
        <v>363</v>
      </c>
      <c r="F498" s="3">
        <v>368</v>
      </c>
      <c r="G498" s="20" t="s">
        <v>724</v>
      </c>
      <c r="H498" s="20" t="s">
        <v>336</v>
      </c>
      <c r="J498" s="6" t="s">
        <v>336</v>
      </c>
      <c r="K498" s="6" t="s">
        <v>727</v>
      </c>
      <c r="M498" s="27" t="s">
        <v>728</v>
      </c>
      <c r="N498" s="27" t="s">
        <v>84</v>
      </c>
      <c r="O498" s="35" t="s">
        <v>725</v>
      </c>
      <c r="P498" s="6" t="s">
        <v>726</v>
      </c>
      <c r="Q498" s="8"/>
      <c r="R498" s="8"/>
    </row>
    <row r="499" spans="1:18" s="6" customFormat="1" ht="14.25" customHeight="1" x14ac:dyDescent="0.25">
      <c r="A499" s="25">
        <f>$A$2+136</f>
        <v>137</v>
      </c>
      <c r="B499" s="4">
        <v>7</v>
      </c>
      <c r="C499" s="4">
        <v>9</v>
      </c>
      <c r="D499" s="4">
        <v>1725</v>
      </c>
      <c r="E499" s="4">
        <f>F499-5</f>
        <v>363</v>
      </c>
      <c r="F499" s="3">
        <v>368</v>
      </c>
      <c r="G499" s="20"/>
      <c r="H499" s="20" t="s">
        <v>729</v>
      </c>
      <c r="J499" s="6" t="s">
        <v>729</v>
      </c>
      <c r="K499" s="6" t="s">
        <v>730</v>
      </c>
      <c r="M499" s="27" t="s">
        <v>731</v>
      </c>
      <c r="N499" s="27" t="s">
        <v>53</v>
      </c>
      <c r="O499" s="35" t="s">
        <v>733</v>
      </c>
      <c r="P499" s="6" t="s">
        <v>732</v>
      </c>
      <c r="Q499" s="8"/>
      <c r="R499" s="8"/>
    </row>
    <row r="500" spans="1:18" s="6" customFormat="1" x14ac:dyDescent="0.25">
      <c r="A500" s="80">
        <f>$A$2+137</f>
        <v>138</v>
      </c>
      <c r="B500" s="97">
        <v>7</v>
      </c>
      <c r="C500" s="94">
        <v>9</v>
      </c>
      <c r="D500" s="94">
        <v>1725</v>
      </c>
      <c r="E500" s="94">
        <f>F500-5</f>
        <v>364</v>
      </c>
      <c r="F500" s="91">
        <v>369</v>
      </c>
      <c r="G500" s="20"/>
      <c r="H500" s="20"/>
      <c r="J500" s="6" t="s">
        <v>336</v>
      </c>
      <c r="K500" s="6" t="s">
        <v>738</v>
      </c>
      <c r="L500" s="6" t="s">
        <v>739</v>
      </c>
      <c r="M500" s="72" t="s">
        <v>742</v>
      </c>
      <c r="N500" s="72" t="s">
        <v>53</v>
      </c>
      <c r="O500" s="70" t="s">
        <v>741</v>
      </c>
      <c r="Q500" s="8"/>
      <c r="R500" s="8"/>
    </row>
    <row r="501" spans="1:18" x14ac:dyDescent="0.25">
      <c r="A501" s="87"/>
      <c r="B501" s="98"/>
      <c r="C501" s="95"/>
      <c r="D501" s="95"/>
      <c r="E501" s="95"/>
      <c r="F501" s="92"/>
      <c r="J501" t="s">
        <v>734</v>
      </c>
      <c r="K501" t="s">
        <v>735</v>
      </c>
      <c r="L501" t="s">
        <v>740</v>
      </c>
      <c r="M501" s="83"/>
      <c r="N501" s="83"/>
      <c r="O501" s="82"/>
    </row>
    <row r="502" spans="1:18" x14ac:dyDescent="0.25">
      <c r="A502" s="87"/>
      <c r="B502" s="98"/>
      <c r="C502" s="95"/>
      <c r="D502" s="95"/>
      <c r="E502" s="95"/>
      <c r="F502" s="92"/>
      <c r="J502" t="s">
        <v>736</v>
      </c>
      <c r="M502" s="83"/>
      <c r="N502" s="83"/>
      <c r="O502" s="82"/>
    </row>
    <row r="503" spans="1:18" x14ac:dyDescent="0.25">
      <c r="A503" s="81"/>
      <c r="B503" s="99"/>
      <c r="C503" s="96"/>
      <c r="D503" s="96"/>
      <c r="E503" s="96"/>
      <c r="F503" s="93"/>
      <c r="J503" t="s">
        <v>737</v>
      </c>
      <c r="M503" s="73"/>
      <c r="N503" s="73"/>
      <c r="O503" s="71"/>
    </row>
    <row r="504" spans="1:18" s="6" customFormat="1" x14ac:dyDescent="0.25">
      <c r="A504" s="80">
        <f>$A$2+138</f>
        <v>139</v>
      </c>
      <c r="B504" s="97">
        <v>10</v>
      </c>
      <c r="C504" s="94">
        <v>9</v>
      </c>
      <c r="D504" s="94">
        <v>1725</v>
      </c>
      <c r="E504" s="94">
        <f>F504-5</f>
        <v>364</v>
      </c>
      <c r="F504" s="91">
        <v>369</v>
      </c>
      <c r="G504" s="20" t="s">
        <v>336</v>
      </c>
      <c r="H504" s="20" t="s">
        <v>734</v>
      </c>
      <c r="J504" s="6" t="s">
        <v>336</v>
      </c>
      <c r="M504" s="72" t="s">
        <v>742</v>
      </c>
      <c r="N504" s="72" t="s">
        <v>53</v>
      </c>
      <c r="O504" s="70" t="s">
        <v>744</v>
      </c>
      <c r="Q504" s="8"/>
      <c r="R504" s="8"/>
    </row>
    <row r="505" spans="1:18" x14ac:dyDescent="0.25">
      <c r="A505" s="87"/>
      <c r="B505" s="98"/>
      <c r="C505" s="95"/>
      <c r="D505" s="95"/>
      <c r="E505" s="95"/>
      <c r="F505" s="92"/>
      <c r="H505" s="18" t="s">
        <v>743</v>
      </c>
      <c r="J505" t="s">
        <v>734</v>
      </c>
      <c r="K505" t="s">
        <v>735</v>
      </c>
      <c r="M505" s="83"/>
      <c r="N505" s="83"/>
      <c r="O505" s="82"/>
    </row>
    <row r="506" spans="1:18" x14ac:dyDescent="0.25">
      <c r="A506" s="87"/>
      <c r="B506" s="98"/>
      <c r="C506" s="95"/>
      <c r="D506" s="95"/>
      <c r="E506" s="95"/>
      <c r="F506" s="92"/>
      <c r="H506" s="18" t="s">
        <v>737</v>
      </c>
      <c r="J506" t="s">
        <v>743</v>
      </c>
      <c r="M506" s="83"/>
      <c r="N506" s="83"/>
      <c r="O506" s="82"/>
    </row>
    <row r="507" spans="1:18" x14ac:dyDescent="0.25">
      <c r="A507" s="81"/>
      <c r="B507" s="99"/>
      <c r="C507" s="96"/>
      <c r="D507" s="96"/>
      <c r="E507" s="96"/>
      <c r="F507" s="93"/>
      <c r="J507" t="s">
        <v>737</v>
      </c>
      <c r="M507" s="73"/>
      <c r="N507" s="73"/>
      <c r="O507" s="71"/>
    </row>
    <row r="508" spans="1:18" s="6" customFormat="1" x14ac:dyDescent="0.25">
      <c r="A508" s="80">
        <f>$A$2+139</f>
        <v>140</v>
      </c>
      <c r="B508" s="97">
        <v>10</v>
      </c>
      <c r="C508" s="94">
        <v>9</v>
      </c>
      <c r="D508" s="94">
        <v>1725</v>
      </c>
      <c r="E508" s="94">
        <f>F508-5</f>
        <v>365</v>
      </c>
      <c r="F508" s="91">
        <v>370</v>
      </c>
      <c r="G508" s="20" t="s">
        <v>734</v>
      </c>
      <c r="H508" s="20" t="s">
        <v>336</v>
      </c>
      <c r="J508" s="6" t="s">
        <v>336</v>
      </c>
      <c r="M508" s="72" t="s">
        <v>745</v>
      </c>
      <c r="N508" s="72" t="s">
        <v>84</v>
      </c>
      <c r="O508" s="70" t="s">
        <v>748</v>
      </c>
      <c r="P508" s="6" t="s">
        <v>746</v>
      </c>
      <c r="Q508" s="8"/>
      <c r="R508" s="8"/>
    </row>
    <row r="509" spans="1:18" x14ac:dyDescent="0.25">
      <c r="A509" s="81"/>
      <c r="B509" s="99"/>
      <c r="C509" s="96"/>
      <c r="D509" s="96"/>
      <c r="E509" s="96"/>
      <c r="F509" s="93"/>
      <c r="J509" t="s">
        <v>734</v>
      </c>
      <c r="K509" t="s">
        <v>735</v>
      </c>
      <c r="M509" s="73"/>
      <c r="N509" s="73"/>
      <c r="O509" s="71"/>
      <c r="P509" t="s">
        <v>747</v>
      </c>
    </row>
    <row r="510" spans="1:18" s="6" customFormat="1" x14ac:dyDescent="0.25">
      <c r="A510" s="80">
        <f>$A$2+140</f>
        <v>141</v>
      </c>
      <c r="B510" s="97">
        <v>22</v>
      </c>
      <c r="C510" s="94">
        <v>9</v>
      </c>
      <c r="D510" s="94">
        <v>1725</v>
      </c>
      <c r="E510" s="94">
        <f>F510-5</f>
        <v>365</v>
      </c>
      <c r="F510" s="91">
        <v>370</v>
      </c>
      <c r="G510" s="20"/>
      <c r="H510" s="20"/>
      <c r="I510" s="6" t="s">
        <v>27</v>
      </c>
      <c r="J510" s="6" t="s">
        <v>750</v>
      </c>
      <c r="M510" s="72" t="s">
        <v>749</v>
      </c>
      <c r="N510" s="72" t="s">
        <v>9</v>
      </c>
      <c r="O510" s="70" t="s">
        <v>771</v>
      </c>
      <c r="Q510" s="8"/>
      <c r="R510" s="8"/>
    </row>
    <row r="511" spans="1:18" x14ac:dyDescent="0.25">
      <c r="A511" s="87"/>
      <c r="B511" s="98"/>
      <c r="C511" s="95"/>
      <c r="D511" s="95"/>
      <c r="E511" s="95"/>
      <c r="F511" s="92"/>
      <c r="J511" t="s">
        <v>407</v>
      </c>
      <c r="M511" s="83"/>
      <c r="N511" s="83"/>
      <c r="O511" s="82"/>
      <c r="P511" t="s">
        <v>756</v>
      </c>
    </row>
    <row r="512" spans="1:18" x14ac:dyDescent="0.25">
      <c r="A512" s="87"/>
      <c r="B512" s="98"/>
      <c r="C512" s="95"/>
      <c r="D512" s="95"/>
      <c r="E512" s="95"/>
      <c r="F512" s="92"/>
      <c r="J512" t="s">
        <v>751</v>
      </c>
      <c r="M512" s="83"/>
      <c r="N512" s="83"/>
      <c r="O512" s="82"/>
    </row>
    <row r="513" spans="1:18" x14ac:dyDescent="0.25">
      <c r="A513" s="87"/>
      <c r="B513" s="98"/>
      <c r="C513" s="95"/>
      <c r="D513" s="95"/>
      <c r="E513" s="95"/>
      <c r="F513" s="92"/>
      <c r="J513" t="s">
        <v>752</v>
      </c>
      <c r="M513" s="83"/>
      <c r="N513" s="83"/>
      <c r="O513" s="82"/>
      <c r="P513" t="s">
        <v>753</v>
      </c>
    </row>
    <row r="514" spans="1:18" x14ac:dyDescent="0.25">
      <c r="A514" s="87"/>
      <c r="B514" s="98"/>
      <c r="C514" s="95"/>
      <c r="D514" s="95"/>
      <c r="E514" s="95"/>
      <c r="F514" s="92"/>
      <c r="J514" t="s">
        <v>754</v>
      </c>
      <c r="M514" s="83"/>
      <c r="N514" s="83"/>
      <c r="O514" s="82"/>
      <c r="P514" t="s">
        <v>755</v>
      </c>
    </row>
    <row r="515" spans="1:18" x14ac:dyDescent="0.25">
      <c r="A515" s="87"/>
      <c r="B515" s="98"/>
      <c r="C515" s="95"/>
      <c r="D515" s="95"/>
      <c r="E515" s="95"/>
      <c r="F515" s="92"/>
      <c r="J515" t="s">
        <v>766</v>
      </c>
      <c r="K515" t="s">
        <v>757</v>
      </c>
      <c r="M515" s="83"/>
      <c r="N515" s="83"/>
      <c r="O515" s="82"/>
      <c r="P515" t="s">
        <v>764</v>
      </c>
    </row>
    <row r="516" spans="1:18" x14ac:dyDescent="0.25">
      <c r="A516" s="87"/>
      <c r="B516" s="98"/>
      <c r="C516" s="95"/>
      <c r="D516" s="95"/>
      <c r="E516" s="95"/>
      <c r="F516" s="92"/>
      <c r="J516" t="s">
        <v>758</v>
      </c>
      <c r="K516" t="s">
        <v>759</v>
      </c>
      <c r="M516" s="83"/>
      <c r="N516" s="83"/>
      <c r="O516" s="82"/>
    </row>
    <row r="517" spans="1:18" x14ac:dyDescent="0.25">
      <c r="A517" s="87"/>
      <c r="B517" s="98"/>
      <c r="C517" s="95"/>
      <c r="D517" s="95"/>
      <c r="E517" s="95"/>
      <c r="F517" s="92"/>
      <c r="J517" t="s">
        <v>760</v>
      </c>
      <c r="M517" s="83"/>
      <c r="N517" s="83"/>
      <c r="O517" s="82"/>
    </row>
    <row r="518" spans="1:18" x14ac:dyDescent="0.25">
      <c r="A518" s="87"/>
      <c r="B518" s="98"/>
      <c r="C518" s="95"/>
      <c r="D518" s="95"/>
      <c r="E518" s="95"/>
      <c r="F518" s="92"/>
      <c r="J518" t="s">
        <v>761</v>
      </c>
      <c r="M518" s="83"/>
      <c r="N518" s="83"/>
      <c r="O518" s="82"/>
    </row>
    <row r="519" spans="1:18" x14ac:dyDescent="0.25">
      <c r="A519" s="87"/>
      <c r="B519" s="98"/>
      <c r="C519" s="95"/>
      <c r="D519" s="95"/>
      <c r="E519" s="95"/>
      <c r="F519" s="92"/>
      <c r="J519" t="s">
        <v>734</v>
      </c>
      <c r="M519" s="83"/>
      <c r="N519" s="83"/>
      <c r="O519" s="82"/>
      <c r="P519" t="s">
        <v>767</v>
      </c>
    </row>
    <row r="520" spans="1:18" x14ac:dyDescent="0.25">
      <c r="A520" s="87"/>
      <c r="B520" s="98"/>
      <c r="C520" s="95"/>
      <c r="D520" s="95"/>
      <c r="E520" s="95"/>
      <c r="F520" s="92"/>
      <c r="J520" t="s">
        <v>762</v>
      </c>
      <c r="M520" s="83"/>
      <c r="N520" s="83"/>
      <c r="O520" s="82"/>
      <c r="P520" t="s">
        <v>765</v>
      </c>
    </row>
    <row r="521" spans="1:18" x14ac:dyDescent="0.25">
      <c r="A521" s="87"/>
      <c r="B521" s="98"/>
      <c r="C521" s="95"/>
      <c r="D521" s="95"/>
      <c r="E521" s="95"/>
      <c r="F521" s="92"/>
      <c r="J521" t="s">
        <v>763</v>
      </c>
      <c r="K521" t="s">
        <v>759</v>
      </c>
      <c r="M521" s="83"/>
      <c r="N521" s="83"/>
      <c r="O521" s="82"/>
      <c r="P521" t="s">
        <v>765</v>
      </c>
    </row>
    <row r="522" spans="1:18" x14ac:dyDescent="0.25">
      <c r="A522" s="81"/>
      <c r="B522" s="99"/>
      <c r="C522" s="96"/>
      <c r="D522" s="96"/>
      <c r="E522" s="96"/>
      <c r="F522" s="93"/>
      <c r="J522" t="s">
        <v>768</v>
      </c>
      <c r="L522" t="s">
        <v>769</v>
      </c>
      <c r="M522" s="73"/>
      <c r="N522" s="73"/>
      <c r="O522" s="71"/>
      <c r="P522" t="s">
        <v>770</v>
      </c>
    </row>
    <row r="523" spans="1:18" s="6" customFormat="1" ht="15" customHeight="1" x14ac:dyDescent="0.25">
      <c r="A523" s="80">
        <f>$A$2+141</f>
        <v>142</v>
      </c>
      <c r="B523" s="97">
        <v>22</v>
      </c>
      <c r="C523" s="94">
        <v>9</v>
      </c>
      <c r="D523" s="94">
        <v>1725</v>
      </c>
      <c r="E523" s="94">
        <f>F523-5</f>
        <v>367</v>
      </c>
      <c r="F523" s="91">
        <v>372</v>
      </c>
      <c r="G523" s="20"/>
      <c r="H523" s="20"/>
      <c r="I523" s="6" t="s">
        <v>103</v>
      </c>
      <c r="J523" s="6" t="s">
        <v>772</v>
      </c>
      <c r="M523" s="72" t="s">
        <v>749</v>
      </c>
      <c r="N523" s="72" t="s">
        <v>9</v>
      </c>
      <c r="O523" s="70" t="s">
        <v>790</v>
      </c>
      <c r="Q523" s="8"/>
      <c r="R523" s="8"/>
    </row>
    <row r="524" spans="1:18" x14ac:dyDescent="0.25">
      <c r="A524" s="87"/>
      <c r="B524" s="98"/>
      <c r="C524" s="95"/>
      <c r="D524" s="95"/>
      <c r="E524" s="95"/>
      <c r="F524" s="92"/>
      <c r="I524" t="s">
        <v>103</v>
      </c>
      <c r="J524" t="s">
        <v>773</v>
      </c>
      <c r="M524" s="83"/>
      <c r="N524" s="83"/>
      <c r="O524" s="82"/>
    </row>
    <row r="525" spans="1:18" x14ac:dyDescent="0.25">
      <c r="A525" s="87"/>
      <c r="B525" s="98"/>
      <c r="C525" s="95"/>
      <c r="D525" s="95"/>
      <c r="E525" s="95"/>
      <c r="F525" s="92"/>
      <c r="J525" t="s">
        <v>762</v>
      </c>
      <c r="M525" s="83"/>
      <c r="N525" s="83"/>
      <c r="O525" s="82"/>
      <c r="P525" t="s">
        <v>781</v>
      </c>
    </row>
    <row r="526" spans="1:18" x14ac:dyDescent="0.25">
      <c r="A526" s="87"/>
      <c r="B526" s="98"/>
      <c r="C526" s="95"/>
      <c r="D526" s="95"/>
      <c r="E526" s="95"/>
      <c r="F526" s="92"/>
      <c r="J526" t="s">
        <v>774</v>
      </c>
      <c r="M526" s="83"/>
      <c r="N526" s="83"/>
      <c r="O526" s="82"/>
    </row>
    <row r="527" spans="1:18" x14ac:dyDescent="0.25">
      <c r="A527" s="87"/>
      <c r="B527" s="98"/>
      <c r="C527" s="95"/>
      <c r="D527" s="95"/>
      <c r="E527" s="95"/>
      <c r="F527" s="92"/>
      <c r="J527" t="s">
        <v>458</v>
      </c>
      <c r="K527" t="s">
        <v>759</v>
      </c>
      <c r="M527" s="83"/>
      <c r="N527" s="83"/>
      <c r="O527" s="82"/>
    </row>
    <row r="528" spans="1:18" x14ac:dyDescent="0.25">
      <c r="A528" s="87"/>
      <c r="B528" s="98"/>
      <c r="C528" s="95"/>
      <c r="D528" s="95"/>
      <c r="E528" s="95"/>
      <c r="F528" s="92"/>
      <c r="J528" t="s">
        <v>458</v>
      </c>
      <c r="K528" t="s">
        <v>775</v>
      </c>
      <c r="M528" s="83"/>
      <c r="N528" s="83"/>
      <c r="O528" s="82"/>
      <c r="P528" t="s">
        <v>783</v>
      </c>
    </row>
    <row r="529" spans="1:18" x14ac:dyDescent="0.25">
      <c r="A529" s="87"/>
      <c r="B529" s="98"/>
      <c r="C529" s="95"/>
      <c r="D529" s="95"/>
      <c r="E529" s="95"/>
      <c r="F529" s="92"/>
      <c r="I529" t="s">
        <v>27</v>
      </c>
      <c r="J529" t="s">
        <v>784</v>
      </c>
      <c r="M529" s="83"/>
      <c r="N529" s="83"/>
      <c r="O529" s="82"/>
      <c r="P529" t="s">
        <v>785</v>
      </c>
    </row>
    <row r="530" spans="1:18" x14ac:dyDescent="0.25">
      <c r="A530" s="87"/>
      <c r="B530" s="98"/>
      <c r="C530" s="95"/>
      <c r="D530" s="95"/>
      <c r="E530" s="95"/>
      <c r="F530" s="92"/>
      <c r="J530" t="s">
        <v>407</v>
      </c>
      <c r="M530" s="83"/>
      <c r="N530" s="83"/>
      <c r="O530" s="82"/>
      <c r="P530" t="s">
        <v>789</v>
      </c>
    </row>
    <row r="531" spans="1:18" x14ac:dyDescent="0.25">
      <c r="A531" s="87"/>
      <c r="B531" s="98"/>
      <c r="C531" s="95"/>
      <c r="D531" s="95"/>
      <c r="E531" s="95"/>
      <c r="F531" s="92"/>
      <c r="J531" t="s">
        <v>776</v>
      </c>
      <c r="M531" s="83"/>
      <c r="N531" s="83"/>
      <c r="O531" s="82"/>
    </row>
    <row r="532" spans="1:18" x14ac:dyDescent="0.25">
      <c r="A532" s="87"/>
      <c r="B532" s="98"/>
      <c r="C532" s="95"/>
      <c r="D532" s="95"/>
      <c r="E532" s="95"/>
      <c r="F532" s="92"/>
      <c r="J532" t="s">
        <v>777</v>
      </c>
      <c r="M532" s="83"/>
      <c r="N532" s="83"/>
      <c r="O532" s="82"/>
    </row>
    <row r="533" spans="1:18" x14ac:dyDescent="0.25">
      <c r="A533" s="87"/>
      <c r="B533" s="98"/>
      <c r="C533" s="95"/>
      <c r="D533" s="95"/>
      <c r="E533" s="95"/>
      <c r="F533" s="92"/>
      <c r="J533" t="s">
        <v>788</v>
      </c>
      <c r="M533" s="83"/>
      <c r="N533" s="83"/>
      <c r="O533" s="82"/>
    </row>
    <row r="534" spans="1:18" x14ac:dyDescent="0.25">
      <c r="A534" s="87"/>
      <c r="B534" s="98"/>
      <c r="C534" s="95"/>
      <c r="D534" s="95"/>
      <c r="E534" s="95"/>
      <c r="F534" s="92"/>
      <c r="I534" t="s">
        <v>31</v>
      </c>
      <c r="J534" t="s">
        <v>778</v>
      </c>
      <c r="M534" s="83"/>
      <c r="N534" s="83"/>
      <c r="O534" s="82"/>
    </row>
    <row r="535" spans="1:18" x14ac:dyDescent="0.25">
      <c r="A535" s="87"/>
      <c r="B535" s="98"/>
      <c r="C535" s="95"/>
      <c r="D535" s="95"/>
      <c r="E535" s="95"/>
      <c r="F535" s="92"/>
      <c r="J535" t="s">
        <v>779</v>
      </c>
      <c r="K535" t="s">
        <v>780</v>
      </c>
      <c r="M535" s="83"/>
      <c r="N535" s="83"/>
      <c r="O535" s="82"/>
    </row>
    <row r="536" spans="1:18" x14ac:dyDescent="0.25">
      <c r="A536" s="87"/>
      <c r="B536" s="98"/>
      <c r="C536" s="95"/>
      <c r="D536" s="95"/>
      <c r="E536" s="95"/>
      <c r="F536" s="92"/>
      <c r="J536" t="s">
        <v>782</v>
      </c>
      <c r="M536" s="83"/>
      <c r="N536" s="83"/>
      <c r="O536" s="82"/>
      <c r="P536" t="s">
        <v>786</v>
      </c>
    </row>
    <row r="537" spans="1:18" x14ac:dyDescent="0.25">
      <c r="A537" s="87"/>
      <c r="B537" s="98"/>
      <c r="C537" s="95"/>
      <c r="D537" s="95"/>
      <c r="E537" s="95"/>
      <c r="F537" s="92"/>
      <c r="J537" t="s">
        <v>570</v>
      </c>
      <c r="M537" s="83"/>
      <c r="N537" s="83"/>
      <c r="O537" s="82"/>
      <c r="P537" t="s">
        <v>787</v>
      </c>
    </row>
    <row r="538" spans="1:18" x14ac:dyDescent="0.25">
      <c r="A538" s="81"/>
      <c r="B538" s="99"/>
      <c r="C538" s="96"/>
      <c r="D538" s="96"/>
      <c r="E538" s="96"/>
      <c r="F538" s="93"/>
      <c r="J538" t="s">
        <v>754</v>
      </c>
      <c r="M538" s="73"/>
      <c r="N538" s="73"/>
      <c r="O538" s="71"/>
    </row>
    <row r="539" spans="1:18" s="6" customFormat="1" ht="16.5" customHeight="1" x14ac:dyDescent="0.25">
      <c r="A539" s="25">
        <f>$A$2+142</f>
        <v>143</v>
      </c>
      <c r="B539" s="4">
        <v>22</v>
      </c>
      <c r="C539" s="4">
        <v>9</v>
      </c>
      <c r="D539" s="4">
        <v>1725</v>
      </c>
      <c r="E539" s="4">
        <f>F539-5</f>
        <v>369</v>
      </c>
      <c r="F539" s="3">
        <v>374</v>
      </c>
      <c r="G539" s="20"/>
      <c r="H539" s="20"/>
      <c r="J539" s="6" t="s">
        <v>794</v>
      </c>
      <c r="M539" s="27" t="s">
        <v>792</v>
      </c>
      <c r="N539" s="27" t="s">
        <v>84</v>
      </c>
      <c r="O539" s="35" t="s">
        <v>793</v>
      </c>
      <c r="P539" s="6" t="s">
        <v>795</v>
      </c>
      <c r="Q539" s="8" t="s">
        <v>791</v>
      </c>
      <c r="R539" s="8"/>
    </row>
    <row r="540" spans="1:18" s="6" customFormat="1" x14ac:dyDescent="0.25">
      <c r="A540" s="116">
        <f>$A$2+143</f>
        <v>144</v>
      </c>
      <c r="B540" s="114">
        <v>7</v>
      </c>
      <c r="C540" s="112">
        <v>10</v>
      </c>
      <c r="D540" s="112">
        <v>1725</v>
      </c>
      <c r="E540" s="112">
        <f>F540-5</f>
        <v>370</v>
      </c>
      <c r="F540" s="110">
        <v>375</v>
      </c>
      <c r="G540" s="20" t="s">
        <v>796</v>
      </c>
      <c r="H540" s="20" t="s">
        <v>797</v>
      </c>
      <c r="I540" s="6" t="s">
        <v>27</v>
      </c>
      <c r="J540" s="6" t="s">
        <v>797</v>
      </c>
      <c r="M540" s="108" t="s">
        <v>799</v>
      </c>
      <c r="N540" s="108" t="s">
        <v>20</v>
      </c>
      <c r="O540" s="106"/>
      <c r="Q540" s="8"/>
      <c r="R540" s="8"/>
    </row>
    <row r="541" spans="1:18" x14ac:dyDescent="0.25">
      <c r="A541" s="117"/>
      <c r="B541" s="115"/>
      <c r="C541" s="113"/>
      <c r="D541" s="113"/>
      <c r="E541" s="113"/>
      <c r="F541" s="111"/>
      <c r="J541" t="s">
        <v>798</v>
      </c>
      <c r="M541" s="109"/>
      <c r="N541" s="109"/>
      <c r="O541" s="107"/>
    </row>
    <row r="542" spans="1:18" s="6" customFormat="1" x14ac:dyDescent="0.25">
      <c r="A542" s="80">
        <f>$A$2+144</f>
        <v>145</v>
      </c>
      <c r="B542" s="97">
        <v>7</v>
      </c>
      <c r="C542" s="94">
        <v>10</v>
      </c>
      <c r="D542" s="94">
        <v>1725</v>
      </c>
      <c r="E542" s="94">
        <f>F542-5</f>
        <v>370</v>
      </c>
      <c r="F542" s="91">
        <v>375</v>
      </c>
      <c r="G542" s="20"/>
      <c r="H542" s="20"/>
      <c r="I542" s="6" t="s">
        <v>27</v>
      </c>
      <c r="J542" s="6" t="s">
        <v>800</v>
      </c>
      <c r="L542" s="6" t="s">
        <v>802</v>
      </c>
      <c r="M542" s="72" t="s">
        <v>594</v>
      </c>
      <c r="N542" s="72" t="s">
        <v>600</v>
      </c>
      <c r="O542" s="31"/>
      <c r="Q542" s="8"/>
      <c r="R542" s="8"/>
    </row>
    <row r="543" spans="1:18" x14ac:dyDescent="0.25">
      <c r="A543" s="87"/>
      <c r="B543" s="98"/>
      <c r="C543" s="95"/>
      <c r="D543" s="95"/>
      <c r="E543" s="95"/>
      <c r="F543" s="92"/>
      <c r="I543" t="s">
        <v>103</v>
      </c>
      <c r="J543" t="s">
        <v>595</v>
      </c>
      <c r="K543" t="s">
        <v>585</v>
      </c>
      <c r="M543" s="83"/>
      <c r="N543" s="83"/>
    </row>
    <row r="544" spans="1:18" x14ac:dyDescent="0.25">
      <c r="A544" s="87"/>
      <c r="B544" s="98"/>
      <c r="C544" s="95"/>
      <c r="D544" s="95"/>
      <c r="E544" s="95"/>
      <c r="F544" s="92"/>
      <c r="I544" t="s">
        <v>103</v>
      </c>
      <c r="J544" t="s">
        <v>586</v>
      </c>
      <c r="K544" t="s">
        <v>587</v>
      </c>
      <c r="M544" s="83"/>
      <c r="N544" s="83"/>
    </row>
    <row r="545" spans="1:18" x14ac:dyDescent="0.25">
      <c r="A545" s="87"/>
      <c r="B545" s="98"/>
      <c r="C545" s="95"/>
      <c r="D545" s="95"/>
      <c r="E545" s="95"/>
      <c r="F545" s="92"/>
      <c r="I545" t="s">
        <v>103</v>
      </c>
      <c r="J545" t="s">
        <v>801</v>
      </c>
      <c r="K545" t="s">
        <v>591</v>
      </c>
      <c r="M545" s="83"/>
      <c r="N545" s="83"/>
    </row>
    <row r="546" spans="1:18" x14ac:dyDescent="0.25">
      <c r="A546" s="87"/>
      <c r="B546" s="98"/>
      <c r="C546" s="95"/>
      <c r="D546" s="95"/>
      <c r="E546" s="95"/>
      <c r="F546" s="92"/>
      <c r="J546" t="s">
        <v>589</v>
      </c>
      <c r="K546" t="s">
        <v>591</v>
      </c>
      <c r="M546" s="83"/>
      <c r="N546" s="83"/>
    </row>
    <row r="547" spans="1:18" x14ac:dyDescent="0.25">
      <c r="A547" s="81"/>
      <c r="B547" s="99"/>
      <c r="C547" s="96"/>
      <c r="D547" s="96"/>
      <c r="E547" s="96"/>
      <c r="F547" s="93"/>
      <c r="J547" t="s">
        <v>662</v>
      </c>
      <c r="K547" t="s">
        <v>591</v>
      </c>
      <c r="M547" s="73"/>
      <c r="N547" s="73"/>
    </row>
    <row r="548" spans="1:18" s="6" customFormat="1" x14ac:dyDescent="0.25">
      <c r="A548" s="80">
        <f>$A$2+145</f>
        <v>146</v>
      </c>
      <c r="B548" s="97">
        <v>11</v>
      </c>
      <c r="C548" s="94">
        <v>10</v>
      </c>
      <c r="D548" s="94">
        <v>1725</v>
      </c>
      <c r="E548" s="94">
        <f>F548-5</f>
        <v>371</v>
      </c>
      <c r="F548" s="91">
        <v>376</v>
      </c>
      <c r="G548" s="20" t="s">
        <v>447</v>
      </c>
      <c r="H548" s="20" t="s">
        <v>245</v>
      </c>
      <c r="I548" s="6" t="s">
        <v>27</v>
      </c>
      <c r="J548" s="6" t="s">
        <v>447</v>
      </c>
      <c r="M548" s="72" t="s">
        <v>244</v>
      </c>
      <c r="N548" s="72" t="s">
        <v>20</v>
      </c>
      <c r="O548" s="70" t="s">
        <v>803</v>
      </c>
      <c r="Q548" s="8"/>
      <c r="R548" s="8"/>
    </row>
    <row r="549" spans="1:18" x14ac:dyDescent="0.25">
      <c r="A549" s="81"/>
      <c r="B549" s="99"/>
      <c r="C549" s="96"/>
      <c r="D549" s="96"/>
      <c r="E549" s="96"/>
      <c r="F549" s="93"/>
      <c r="I549" t="s">
        <v>27</v>
      </c>
      <c r="J549" t="s">
        <v>245</v>
      </c>
      <c r="M549" s="73"/>
      <c r="N549" s="73"/>
      <c r="O549" s="71"/>
    </row>
    <row r="550" spans="1:18" s="6" customFormat="1" ht="15" customHeight="1" x14ac:dyDescent="0.25">
      <c r="A550" s="80">
        <f>$A$2+146</f>
        <v>147</v>
      </c>
      <c r="B550" s="97">
        <v>14</v>
      </c>
      <c r="C550" s="94">
        <v>10</v>
      </c>
      <c r="D550" s="94">
        <v>1725</v>
      </c>
      <c r="E550" s="94">
        <f>F550-5</f>
        <v>371</v>
      </c>
      <c r="F550" s="91">
        <v>376</v>
      </c>
      <c r="G550" s="20" t="s">
        <v>654</v>
      </c>
      <c r="H550" s="20" t="s">
        <v>374</v>
      </c>
      <c r="I550" s="6" t="s">
        <v>27</v>
      </c>
      <c r="J550" s="6" t="s">
        <v>654</v>
      </c>
      <c r="M550" s="72" t="s">
        <v>244</v>
      </c>
      <c r="N550" s="72" t="s">
        <v>53</v>
      </c>
      <c r="O550" s="70" t="s">
        <v>808</v>
      </c>
      <c r="Q550" s="8"/>
      <c r="R550" s="8"/>
    </row>
    <row r="551" spans="1:18" x14ac:dyDescent="0.25">
      <c r="A551" s="87"/>
      <c r="B551" s="98"/>
      <c r="C551" s="95"/>
      <c r="D551" s="95"/>
      <c r="E551" s="95"/>
      <c r="F551" s="92"/>
      <c r="I551" t="s">
        <v>27</v>
      </c>
      <c r="J551" t="s">
        <v>374</v>
      </c>
      <c r="L551" t="s">
        <v>804</v>
      </c>
      <c r="M551" s="83"/>
      <c r="N551" s="83"/>
      <c r="O551" s="82"/>
    </row>
    <row r="552" spans="1:18" x14ac:dyDescent="0.25">
      <c r="A552" s="87"/>
      <c r="B552" s="98"/>
      <c r="C552" s="95"/>
      <c r="D552" s="95"/>
      <c r="E552" s="95"/>
      <c r="F552" s="92"/>
      <c r="J552" t="s">
        <v>805</v>
      </c>
      <c r="L552" t="s">
        <v>806</v>
      </c>
      <c r="M552" s="83"/>
      <c r="N552" s="83"/>
      <c r="O552" s="82"/>
    </row>
    <row r="553" spans="1:18" x14ac:dyDescent="0.25">
      <c r="A553" s="81"/>
      <c r="B553" s="99"/>
      <c r="C553" s="96"/>
      <c r="D553" s="96"/>
      <c r="E553" s="96"/>
      <c r="F553" s="93"/>
      <c r="I553" t="s">
        <v>339</v>
      </c>
      <c r="J553" t="s">
        <v>458</v>
      </c>
      <c r="K553" t="s">
        <v>807</v>
      </c>
      <c r="M553" s="73"/>
      <c r="N553" s="73"/>
      <c r="O553" s="71"/>
    </row>
    <row r="554" spans="1:18" s="6" customFormat="1" ht="16.5" customHeight="1" x14ac:dyDescent="0.25">
      <c r="A554" s="25">
        <f>$A$2+147</f>
        <v>148</v>
      </c>
      <c r="B554" s="4">
        <v>14</v>
      </c>
      <c r="C554" s="4">
        <v>10</v>
      </c>
      <c r="D554" s="4">
        <v>1725</v>
      </c>
      <c r="E554" s="4">
        <f>F554-5</f>
        <v>372</v>
      </c>
      <c r="F554" s="3">
        <v>377</v>
      </c>
      <c r="G554" s="20"/>
      <c r="H554" s="20"/>
      <c r="I554" s="6" t="s">
        <v>27</v>
      </c>
      <c r="J554" s="6" t="s">
        <v>654</v>
      </c>
      <c r="M554" s="27" t="s">
        <v>809</v>
      </c>
      <c r="N554" s="27" t="s">
        <v>266</v>
      </c>
      <c r="O554" s="35" t="s">
        <v>810</v>
      </c>
      <c r="Q554" s="8"/>
      <c r="R554" s="8"/>
    </row>
    <row r="555" spans="1:18" s="6" customFormat="1" x14ac:dyDescent="0.25">
      <c r="A555" s="124">
        <f>$A$2+148</f>
        <v>149</v>
      </c>
      <c r="B555" s="97">
        <v>14</v>
      </c>
      <c r="C555" s="94">
        <v>10</v>
      </c>
      <c r="D555" s="94">
        <v>1725</v>
      </c>
      <c r="E555" s="94">
        <f>F555-5</f>
        <v>372</v>
      </c>
      <c r="F555" s="91">
        <v>377</v>
      </c>
      <c r="G555" s="20"/>
      <c r="H555" s="20"/>
      <c r="J555" s="6" t="s">
        <v>813</v>
      </c>
      <c r="K555" s="6" t="s">
        <v>814</v>
      </c>
      <c r="L555" s="6" t="s">
        <v>187</v>
      </c>
      <c r="M555" s="72" t="s">
        <v>812</v>
      </c>
      <c r="N555" s="72" t="s">
        <v>811</v>
      </c>
      <c r="O555" s="70"/>
      <c r="Q555" s="8"/>
      <c r="R555" s="8"/>
    </row>
    <row r="556" spans="1:18" x14ac:dyDescent="0.25">
      <c r="A556" s="125"/>
      <c r="B556" s="98"/>
      <c r="C556" s="95"/>
      <c r="D556" s="95"/>
      <c r="E556" s="95"/>
      <c r="F556" s="92"/>
      <c r="I556" t="s">
        <v>103</v>
      </c>
      <c r="J556" t="s">
        <v>121</v>
      </c>
      <c r="K556" t="s">
        <v>815</v>
      </c>
      <c r="L556" t="s">
        <v>816</v>
      </c>
      <c r="M556" s="83"/>
      <c r="N556" s="83"/>
      <c r="O556" s="82"/>
    </row>
    <row r="557" spans="1:18" x14ac:dyDescent="0.25">
      <c r="A557" s="125"/>
      <c r="B557" s="98"/>
      <c r="C557" s="95"/>
      <c r="D557" s="95"/>
      <c r="E557" s="95"/>
      <c r="F557" s="92"/>
      <c r="I557" t="s">
        <v>103</v>
      </c>
      <c r="J557" t="s">
        <v>75</v>
      </c>
      <c r="K557" t="s">
        <v>815</v>
      </c>
      <c r="L557" t="s">
        <v>816</v>
      </c>
      <c r="M557" s="83"/>
      <c r="N557" s="83"/>
      <c r="O557" s="82"/>
    </row>
    <row r="558" spans="1:18" x14ac:dyDescent="0.25">
      <c r="A558" s="125"/>
      <c r="B558" s="98"/>
      <c r="C558" s="95"/>
      <c r="D558" s="95"/>
      <c r="E558" s="95"/>
      <c r="F558" s="92"/>
      <c r="I558" t="s">
        <v>103</v>
      </c>
      <c r="J558" t="s">
        <v>478</v>
      </c>
      <c r="K558" t="s">
        <v>815</v>
      </c>
      <c r="L558" t="s">
        <v>817</v>
      </c>
      <c r="M558" s="83"/>
      <c r="N558" s="83"/>
      <c r="O558" s="82"/>
    </row>
    <row r="559" spans="1:18" x14ac:dyDescent="0.25">
      <c r="A559" s="125"/>
      <c r="B559" s="98"/>
      <c r="C559" s="95"/>
      <c r="D559" s="95"/>
      <c r="E559" s="95"/>
      <c r="F559" s="92"/>
      <c r="I559" t="s">
        <v>103</v>
      </c>
      <c r="J559" t="s">
        <v>818</v>
      </c>
      <c r="K559" t="s">
        <v>815</v>
      </c>
      <c r="L559" t="s">
        <v>817</v>
      </c>
      <c r="M559" s="83"/>
      <c r="N559" s="83"/>
      <c r="O559" s="82"/>
    </row>
    <row r="560" spans="1:18" x14ac:dyDescent="0.25">
      <c r="A560" s="125"/>
      <c r="B560" s="98"/>
      <c r="C560" s="95"/>
      <c r="D560" s="95"/>
      <c r="E560" s="95"/>
      <c r="F560" s="92"/>
      <c r="I560" t="s">
        <v>103</v>
      </c>
      <c r="J560" t="s">
        <v>17</v>
      </c>
      <c r="K560" t="s">
        <v>819</v>
      </c>
      <c r="L560" t="s">
        <v>816</v>
      </c>
      <c r="M560" s="83"/>
      <c r="N560" s="83"/>
      <c r="O560" s="82"/>
    </row>
    <row r="561" spans="1:18" x14ac:dyDescent="0.25">
      <c r="A561" s="125"/>
      <c r="B561" s="98"/>
      <c r="C561" s="95"/>
      <c r="D561" s="95"/>
      <c r="E561" s="95"/>
      <c r="F561" s="92"/>
      <c r="I561" t="s">
        <v>103</v>
      </c>
      <c r="J561" t="s">
        <v>820</v>
      </c>
      <c r="K561" t="s">
        <v>819</v>
      </c>
      <c r="L561" t="s">
        <v>816</v>
      </c>
      <c r="M561" s="83"/>
      <c r="N561" s="83"/>
      <c r="O561" s="82"/>
    </row>
    <row r="562" spans="1:18" x14ac:dyDescent="0.25">
      <c r="A562" s="126"/>
      <c r="B562" s="99"/>
      <c r="C562" s="96"/>
      <c r="D562" s="96"/>
      <c r="E562" s="96"/>
      <c r="F562" s="93"/>
      <c r="I562" t="s">
        <v>103</v>
      </c>
      <c r="J562" t="s">
        <v>129</v>
      </c>
      <c r="K562" t="s">
        <v>819</v>
      </c>
      <c r="L562" t="s">
        <v>816</v>
      </c>
      <c r="M562" s="73"/>
      <c r="N562" s="73"/>
      <c r="O562" s="71"/>
    </row>
    <row r="563" spans="1:18" s="6" customFormat="1" x14ac:dyDescent="0.25">
      <c r="A563" s="124">
        <f>$A$2+149</f>
        <v>150</v>
      </c>
      <c r="B563" s="97">
        <v>24</v>
      </c>
      <c r="C563" s="94">
        <v>1</v>
      </c>
      <c r="D563" s="94">
        <v>1725</v>
      </c>
      <c r="E563" s="94">
        <f>F563-5</f>
        <v>373</v>
      </c>
      <c r="F563" s="91">
        <v>378</v>
      </c>
      <c r="G563" s="20"/>
      <c r="H563" s="20"/>
      <c r="I563" s="6" t="s">
        <v>27</v>
      </c>
      <c r="J563" s="6" t="s">
        <v>73</v>
      </c>
      <c r="K563" s="6" t="s">
        <v>567</v>
      </c>
      <c r="M563" s="72" t="s">
        <v>523</v>
      </c>
      <c r="N563" s="72" t="s">
        <v>821</v>
      </c>
      <c r="O563" s="70"/>
      <c r="Q563" s="8"/>
      <c r="R563" s="8"/>
    </row>
    <row r="564" spans="1:18" x14ac:dyDescent="0.25">
      <c r="A564" s="125"/>
      <c r="B564" s="98"/>
      <c r="C564" s="95"/>
      <c r="D564" s="95"/>
      <c r="E564" s="95"/>
      <c r="F564" s="92"/>
      <c r="I564" t="s">
        <v>27</v>
      </c>
      <c r="J564" t="s">
        <v>36</v>
      </c>
      <c r="K564" t="s">
        <v>822</v>
      </c>
      <c r="M564" s="83"/>
      <c r="N564" s="83"/>
      <c r="O564" s="82"/>
    </row>
    <row r="565" spans="1:18" x14ac:dyDescent="0.25">
      <c r="A565" s="125"/>
      <c r="B565" s="98"/>
      <c r="C565" s="95"/>
      <c r="D565" s="95"/>
      <c r="E565" s="95"/>
      <c r="F565" s="92"/>
      <c r="I565" t="s">
        <v>27</v>
      </c>
      <c r="J565" t="s">
        <v>703</v>
      </c>
      <c r="K565" t="s">
        <v>823</v>
      </c>
      <c r="M565" s="83"/>
      <c r="N565" s="83"/>
      <c r="O565" s="82"/>
    </row>
    <row r="566" spans="1:18" x14ac:dyDescent="0.25">
      <c r="A566" s="125"/>
      <c r="B566" s="98"/>
      <c r="C566" s="95"/>
      <c r="D566" s="95"/>
      <c r="E566" s="95"/>
      <c r="F566" s="92"/>
      <c r="I566" t="s">
        <v>27</v>
      </c>
      <c r="J566" t="s">
        <v>596</v>
      </c>
      <c r="L566" t="s">
        <v>824</v>
      </c>
      <c r="M566" s="83"/>
      <c r="N566" s="83"/>
      <c r="O566" s="82"/>
    </row>
    <row r="567" spans="1:18" x14ac:dyDescent="0.25">
      <c r="A567" s="125"/>
      <c r="B567" s="98"/>
      <c r="C567" s="95"/>
      <c r="D567" s="95"/>
      <c r="E567" s="95"/>
      <c r="F567" s="92"/>
      <c r="I567" t="s">
        <v>27</v>
      </c>
      <c r="J567" t="s">
        <v>245</v>
      </c>
      <c r="K567" t="s">
        <v>825</v>
      </c>
      <c r="M567" s="83"/>
      <c r="N567" s="83"/>
      <c r="O567" s="82"/>
    </row>
    <row r="568" spans="1:18" x14ac:dyDescent="0.25">
      <c r="A568" s="125"/>
      <c r="B568" s="98"/>
      <c r="C568" s="95"/>
      <c r="D568" s="95"/>
      <c r="E568" s="95"/>
      <c r="F568" s="92"/>
      <c r="I568" t="s">
        <v>27</v>
      </c>
      <c r="J568" t="s">
        <v>249</v>
      </c>
      <c r="K568" t="s">
        <v>826</v>
      </c>
      <c r="M568" s="83"/>
      <c r="N568" s="83"/>
      <c r="O568" s="82"/>
    </row>
    <row r="569" spans="1:18" x14ac:dyDescent="0.25">
      <c r="A569" s="125"/>
      <c r="B569" s="98"/>
      <c r="C569" s="95"/>
      <c r="D569" s="95"/>
      <c r="E569" s="95"/>
      <c r="F569" s="92"/>
      <c r="I569" t="s">
        <v>27</v>
      </c>
      <c r="J569" t="s">
        <v>511</v>
      </c>
      <c r="K569" t="s">
        <v>827</v>
      </c>
      <c r="M569" s="83"/>
      <c r="N569" s="83"/>
      <c r="O569" s="82"/>
    </row>
    <row r="570" spans="1:18" x14ac:dyDescent="0.25">
      <c r="A570" s="125"/>
      <c r="B570" s="98"/>
      <c r="C570" s="95"/>
      <c r="D570" s="95"/>
      <c r="E570" s="95"/>
      <c r="F570" s="92"/>
      <c r="I570" t="s">
        <v>27</v>
      </c>
      <c r="J570" t="s">
        <v>513</v>
      </c>
      <c r="K570" t="s">
        <v>822</v>
      </c>
      <c r="M570" s="83"/>
      <c r="N570" s="83"/>
      <c r="O570" s="82"/>
    </row>
    <row r="571" spans="1:18" x14ac:dyDescent="0.25">
      <c r="A571" s="125"/>
      <c r="B571" s="98"/>
      <c r="C571" s="95"/>
      <c r="D571" s="95"/>
      <c r="E571" s="95"/>
      <c r="F571" s="92"/>
      <c r="I571" t="s">
        <v>27</v>
      </c>
      <c r="J571" t="s">
        <v>457</v>
      </c>
      <c r="K571" t="s">
        <v>828</v>
      </c>
      <c r="M571" s="83"/>
      <c r="N571" s="83"/>
      <c r="O571" s="82"/>
    </row>
    <row r="572" spans="1:18" x14ac:dyDescent="0.25">
      <c r="A572" s="125"/>
      <c r="B572" s="98"/>
      <c r="C572" s="95"/>
      <c r="D572" s="95"/>
      <c r="E572" s="95"/>
      <c r="F572" s="92"/>
      <c r="I572" t="s">
        <v>27</v>
      </c>
      <c r="J572" t="s">
        <v>516</v>
      </c>
      <c r="M572" s="83"/>
      <c r="N572" s="83"/>
      <c r="O572" s="82"/>
    </row>
    <row r="573" spans="1:18" x14ac:dyDescent="0.25">
      <c r="A573" s="125"/>
      <c r="B573" s="98"/>
      <c r="C573" s="95"/>
      <c r="D573" s="95"/>
      <c r="E573" s="95"/>
      <c r="F573" s="92"/>
      <c r="I573" t="s">
        <v>27</v>
      </c>
      <c r="J573" t="s">
        <v>519</v>
      </c>
      <c r="K573" t="s">
        <v>829</v>
      </c>
      <c r="M573" s="83"/>
      <c r="N573" s="83"/>
      <c r="O573" s="82"/>
    </row>
    <row r="574" spans="1:18" x14ac:dyDescent="0.25">
      <c r="A574" s="125"/>
      <c r="B574" s="98"/>
      <c r="C574" s="95"/>
      <c r="D574" s="95"/>
      <c r="E574" s="95"/>
      <c r="F574" s="92"/>
      <c r="I574" t="s">
        <v>27</v>
      </c>
      <c r="J574" t="s">
        <v>830</v>
      </c>
      <c r="K574" t="s">
        <v>822</v>
      </c>
      <c r="M574" s="83"/>
      <c r="N574" s="83"/>
      <c r="O574" s="82"/>
    </row>
    <row r="575" spans="1:18" x14ac:dyDescent="0.25">
      <c r="A575" s="125"/>
      <c r="B575" s="98"/>
      <c r="C575" s="95"/>
      <c r="D575" s="95"/>
      <c r="E575" s="95"/>
      <c r="F575" s="92"/>
      <c r="I575" t="s">
        <v>27</v>
      </c>
      <c r="J575" t="s">
        <v>331</v>
      </c>
      <c r="K575" t="s">
        <v>831</v>
      </c>
      <c r="M575" s="83"/>
      <c r="N575" s="83"/>
      <c r="O575" s="82"/>
    </row>
    <row r="576" spans="1:18" x14ac:dyDescent="0.25">
      <c r="A576" s="126"/>
      <c r="B576" s="99"/>
      <c r="C576" s="96"/>
      <c r="D576" s="96"/>
      <c r="E576" s="96"/>
      <c r="F576" s="93"/>
      <c r="I576" t="s">
        <v>27</v>
      </c>
      <c r="J576" t="s">
        <v>832</v>
      </c>
      <c r="K576" t="s">
        <v>833</v>
      </c>
      <c r="M576" s="73"/>
      <c r="N576" s="73"/>
      <c r="O576" s="71"/>
    </row>
    <row r="577" spans="1:18" s="6" customFormat="1" x14ac:dyDescent="0.25">
      <c r="A577" s="80">
        <f>$A$2+150</f>
        <v>151</v>
      </c>
      <c r="B577" s="97">
        <v>8</v>
      </c>
      <c r="C577" s="94">
        <v>2</v>
      </c>
      <c r="D577" s="94">
        <v>1726</v>
      </c>
      <c r="E577" s="94">
        <f>F577-5</f>
        <v>374</v>
      </c>
      <c r="F577" s="91">
        <v>379</v>
      </c>
      <c r="G577" s="20" t="s">
        <v>835</v>
      </c>
      <c r="H577" s="20" t="s">
        <v>834</v>
      </c>
      <c r="I577" s="6" t="s">
        <v>31</v>
      </c>
      <c r="J577" s="6" t="s">
        <v>834</v>
      </c>
      <c r="M577" s="72"/>
      <c r="N577" s="72" t="s">
        <v>344</v>
      </c>
      <c r="O577" s="70"/>
      <c r="Q577" s="8"/>
      <c r="R577" s="8"/>
    </row>
    <row r="578" spans="1:18" x14ac:dyDescent="0.25">
      <c r="A578" s="81"/>
      <c r="B578" s="99"/>
      <c r="C578" s="96"/>
      <c r="D578" s="96"/>
      <c r="E578" s="96"/>
      <c r="F578" s="93"/>
      <c r="I578" t="s">
        <v>104</v>
      </c>
      <c r="J578" t="s">
        <v>835</v>
      </c>
      <c r="M578" s="73"/>
      <c r="N578" s="73"/>
      <c r="O578" s="71"/>
    </row>
    <row r="579" spans="1:18" s="6" customFormat="1" x14ac:dyDescent="0.25">
      <c r="A579" s="80">
        <f>$A$2+151</f>
        <v>152</v>
      </c>
      <c r="B579" s="97">
        <v>11</v>
      </c>
      <c r="C579" s="94">
        <v>2</v>
      </c>
      <c r="D579" s="94">
        <v>1726</v>
      </c>
      <c r="E579" s="94">
        <f>F579-5</f>
        <v>374</v>
      </c>
      <c r="F579" s="91">
        <v>379</v>
      </c>
      <c r="G579" s="20" t="s">
        <v>317</v>
      </c>
      <c r="H579" s="20" t="s">
        <v>836</v>
      </c>
      <c r="I579" s="6" t="s">
        <v>27</v>
      </c>
      <c r="J579" s="6" t="s">
        <v>317</v>
      </c>
      <c r="M579" s="72" t="s">
        <v>13</v>
      </c>
      <c r="N579" s="72" t="s">
        <v>20</v>
      </c>
      <c r="O579" s="70" t="s">
        <v>841</v>
      </c>
      <c r="Q579" s="8"/>
      <c r="R579" s="8"/>
    </row>
    <row r="580" spans="1:18" x14ac:dyDescent="0.25">
      <c r="A580" s="87"/>
      <c r="B580" s="98"/>
      <c r="C580" s="95"/>
      <c r="D580" s="95"/>
      <c r="E580" s="95"/>
      <c r="F580" s="92"/>
      <c r="H580" s="18" t="s">
        <v>837</v>
      </c>
      <c r="I580" t="s">
        <v>27</v>
      </c>
      <c r="J580" t="s">
        <v>836</v>
      </c>
      <c r="M580" s="83"/>
      <c r="N580" s="83"/>
      <c r="O580" s="82"/>
    </row>
    <row r="581" spans="1:18" x14ac:dyDescent="0.25">
      <c r="A581" s="87"/>
      <c r="B581" s="98"/>
      <c r="C581" s="95"/>
      <c r="D581" s="95"/>
      <c r="E581" s="95"/>
      <c r="F581" s="92"/>
      <c r="I581" t="s">
        <v>27</v>
      </c>
      <c r="J581" t="s">
        <v>837</v>
      </c>
      <c r="M581" s="83"/>
      <c r="N581" s="83"/>
      <c r="O581" s="82"/>
      <c r="P581" t="s">
        <v>840</v>
      </c>
    </row>
    <row r="582" spans="1:18" x14ac:dyDescent="0.25">
      <c r="A582" s="87"/>
      <c r="B582" s="98"/>
      <c r="C582" s="95"/>
      <c r="D582" s="95"/>
      <c r="E582" s="95"/>
      <c r="F582" s="92"/>
      <c r="J582" t="s">
        <v>838</v>
      </c>
      <c r="M582" s="83"/>
      <c r="N582" s="83"/>
      <c r="O582" s="82"/>
    </row>
    <row r="583" spans="1:18" x14ac:dyDescent="0.25">
      <c r="A583" s="81"/>
      <c r="B583" s="99"/>
      <c r="C583" s="96"/>
      <c r="D583" s="96"/>
      <c r="E583" s="96"/>
      <c r="F583" s="93"/>
      <c r="J583" t="s">
        <v>142</v>
      </c>
      <c r="L583" t="s">
        <v>839</v>
      </c>
      <c r="M583" s="73"/>
      <c r="N583" s="73"/>
      <c r="O583" s="71"/>
    </row>
    <row r="584" spans="1:18" s="6" customFormat="1" x14ac:dyDescent="0.25">
      <c r="A584" s="80">
        <f>$A$2+152</f>
        <v>153</v>
      </c>
      <c r="B584" s="97">
        <v>28</v>
      </c>
      <c r="C584" s="94">
        <v>2</v>
      </c>
      <c r="D584" s="94">
        <v>1726</v>
      </c>
      <c r="E584" s="94">
        <f>F584-5</f>
        <v>375</v>
      </c>
      <c r="F584" s="91">
        <v>380</v>
      </c>
      <c r="G584" s="20"/>
      <c r="H584" s="20"/>
      <c r="I584" s="6" t="s">
        <v>27</v>
      </c>
      <c r="J584" s="6" t="s">
        <v>842</v>
      </c>
      <c r="M584" s="72" t="s">
        <v>594</v>
      </c>
      <c r="N584" s="72" t="s">
        <v>600</v>
      </c>
      <c r="O584" s="70"/>
      <c r="Q584" s="8"/>
      <c r="R584" s="8"/>
    </row>
    <row r="585" spans="1:18" x14ac:dyDescent="0.25">
      <c r="A585" s="87"/>
      <c r="B585" s="98"/>
      <c r="C585" s="95"/>
      <c r="D585" s="95"/>
      <c r="E585" s="95"/>
      <c r="F585" s="92"/>
      <c r="I585" t="s">
        <v>103</v>
      </c>
      <c r="J585" t="s">
        <v>595</v>
      </c>
      <c r="K585" t="s">
        <v>585</v>
      </c>
      <c r="M585" s="83"/>
      <c r="N585" s="83"/>
      <c r="O585" s="82"/>
    </row>
    <row r="586" spans="1:18" x14ac:dyDescent="0.25">
      <c r="A586" s="87"/>
      <c r="B586" s="98"/>
      <c r="C586" s="95"/>
      <c r="D586" s="95"/>
      <c r="E586" s="95"/>
      <c r="F586" s="92"/>
      <c r="I586" t="s">
        <v>103</v>
      </c>
      <c r="J586" t="s">
        <v>586</v>
      </c>
      <c r="K586" t="s">
        <v>587</v>
      </c>
      <c r="M586" s="83"/>
      <c r="N586" s="83"/>
      <c r="O586" s="82"/>
    </row>
    <row r="587" spans="1:18" x14ac:dyDescent="0.25">
      <c r="A587" s="87"/>
      <c r="B587" s="98"/>
      <c r="C587" s="95"/>
      <c r="D587" s="95"/>
      <c r="E587" s="95"/>
      <c r="F587" s="92"/>
      <c r="I587" t="s">
        <v>103</v>
      </c>
      <c r="J587" t="s">
        <v>784</v>
      </c>
      <c r="K587" t="s">
        <v>591</v>
      </c>
      <c r="M587" s="83"/>
      <c r="N587" s="83"/>
      <c r="O587" s="82"/>
    </row>
    <row r="588" spans="1:18" x14ac:dyDescent="0.25">
      <c r="A588" s="87"/>
      <c r="B588" s="98"/>
      <c r="C588" s="95"/>
      <c r="D588" s="95"/>
      <c r="E588" s="95"/>
      <c r="F588" s="92"/>
      <c r="I588" t="s">
        <v>103</v>
      </c>
      <c r="J588" t="s">
        <v>843</v>
      </c>
      <c r="K588" t="s">
        <v>591</v>
      </c>
      <c r="M588" s="83"/>
      <c r="N588" s="83"/>
      <c r="O588" s="82"/>
    </row>
    <row r="589" spans="1:18" x14ac:dyDescent="0.25">
      <c r="A589" s="81"/>
      <c r="B589" s="99"/>
      <c r="C589" s="96"/>
      <c r="D589" s="96"/>
      <c r="E589" s="96"/>
      <c r="F589" s="93"/>
      <c r="I589" t="s">
        <v>103</v>
      </c>
      <c r="J589" t="s">
        <v>643</v>
      </c>
      <c r="K589" t="s">
        <v>591</v>
      </c>
      <c r="M589" s="73"/>
      <c r="N589" s="73"/>
      <c r="O589" s="71"/>
    </row>
    <row r="590" spans="1:18" s="6" customFormat="1" x14ac:dyDescent="0.25">
      <c r="A590" s="80">
        <f>$A$2+153</f>
        <v>154</v>
      </c>
      <c r="B590" s="97">
        <v>21</v>
      </c>
      <c r="C590" s="94">
        <v>3</v>
      </c>
      <c r="D590" s="94">
        <v>1726</v>
      </c>
      <c r="E590" s="94">
        <f>F590-5</f>
        <v>375</v>
      </c>
      <c r="F590" s="91">
        <v>380</v>
      </c>
      <c r="G590" s="20"/>
      <c r="H590" s="20"/>
      <c r="I590" s="6" t="s">
        <v>27</v>
      </c>
      <c r="J590" s="6" t="s">
        <v>844</v>
      </c>
      <c r="L590" s="6" t="s">
        <v>845</v>
      </c>
      <c r="M590" s="72" t="s">
        <v>594</v>
      </c>
      <c r="N590" s="72" t="s">
        <v>600</v>
      </c>
      <c r="O590" s="70"/>
      <c r="Q590" s="8"/>
      <c r="R590" s="8"/>
    </row>
    <row r="591" spans="1:18" x14ac:dyDescent="0.25">
      <c r="A591" s="87"/>
      <c r="B591" s="98"/>
      <c r="C591" s="95"/>
      <c r="D591" s="95"/>
      <c r="E591" s="95"/>
      <c r="F591" s="92"/>
      <c r="I591" t="s">
        <v>103</v>
      </c>
      <c r="J591" t="s">
        <v>595</v>
      </c>
      <c r="K591" t="s">
        <v>585</v>
      </c>
      <c r="M591" s="83"/>
      <c r="N591" s="83"/>
      <c r="O591" s="82"/>
    </row>
    <row r="592" spans="1:18" x14ac:dyDescent="0.25">
      <c r="A592" s="87"/>
      <c r="B592" s="98"/>
      <c r="C592" s="95"/>
      <c r="D592" s="95"/>
      <c r="E592" s="95"/>
      <c r="F592" s="92"/>
      <c r="I592" t="s">
        <v>103</v>
      </c>
      <c r="J592" t="s">
        <v>586</v>
      </c>
      <c r="K592" t="s">
        <v>587</v>
      </c>
      <c r="M592" s="83"/>
      <c r="N592" s="83"/>
      <c r="O592" s="82"/>
    </row>
    <row r="593" spans="1:18" x14ac:dyDescent="0.25">
      <c r="A593" s="87"/>
      <c r="B593" s="98"/>
      <c r="C593" s="95"/>
      <c r="D593" s="95"/>
      <c r="E593" s="95"/>
      <c r="F593" s="92"/>
      <c r="I593" t="s">
        <v>103</v>
      </c>
      <c r="J593" t="s">
        <v>784</v>
      </c>
      <c r="K593" t="s">
        <v>591</v>
      </c>
      <c r="M593" s="83"/>
      <c r="N593" s="83"/>
      <c r="O593" s="82"/>
    </row>
    <row r="594" spans="1:18" x14ac:dyDescent="0.25">
      <c r="A594" s="87"/>
      <c r="B594" s="98"/>
      <c r="C594" s="95"/>
      <c r="D594" s="95"/>
      <c r="E594" s="95"/>
      <c r="F594" s="92"/>
      <c r="I594" t="s">
        <v>103</v>
      </c>
      <c r="J594" t="s">
        <v>843</v>
      </c>
      <c r="K594" t="s">
        <v>591</v>
      </c>
      <c r="M594" s="83"/>
      <c r="N594" s="83"/>
      <c r="O594" s="82"/>
    </row>
    <row r="595" spans="1:18" x14ac:dyDescent="0.25">
      <c r="A595" s="81"/>
      <c r="B595" s="99"/>
      <c r="C595" s="96"/>
      <c r="D595" s="96"/>
      <c r="E595" s="96"/>
      <c r="F595" s="93"/>
      <c r="I595" t="s">
        <v>103</v>
      </c>
      <c r="J595" t="s">
        <v>643</v>
      </c>
      <c r="K595" t="s">
        <v>591</v>
      </c>
      <c r="M595" s="73"/>
      <c r="N595" s="73"/>
      <c r="O595" s="71"/>
    </row>
    <row r="596" spans="1:18" s="6" customFormat="1" x14ac:dyDescent="0.25">
      <c r="A596" s="80">
        <f>$A$2+154</f>
        <v>155</v>
      </c>
      <c r="B596" s="97">
        <v>10</v>
      </c>
      <c r="C596" s="94">
        <v>5</v>
      </c>
      <c r="D596" s="94">
        <v>1726</v>
      </c>
      <c r="E596" s="94">
        <f>F596-5</f>
        <v>376</v>
      </c>
      <c r="F596" s="91">
        <v>381</v>
      </c>
      <c r="G596" s="20" t="s">
        <v>846</v>
      </c>
      <c r="H596" s="20" t="s">
        <v>847</v>
      </c>
      <c r="J596" s="6" t="s">
        <v>846</v>
      </c>
      <c r="M596" s="72" t="s">
        <v>667</v>
      </c>
      <c r="N596" s="72" t="s">
        <v>53</v>
      </c>
      <c r="O596" s="70" t="s">
        <v>852</v>
      </c>
      <c r="P596" s="6" t="s">
        <v>849</v>
      </c>
      <c r="Q596" s="8"/>
      <c r="R596" s="8"/>
    </row>
    <row r="597" spans="1:18" x14ac:dyDescent="0.25">
      <c r="A597" s="87"/>
      <c r="B597" s="98"/>
      <c r="C597" s="95"/>
      <c r="D597" s="95"/>
      <c r="E597" s="95"/>
      <c r="F597" s="92"/>
      <c r="J597" t="s">
        <v>850</v>
      </c>
      <c r="M597" s="83"/>
      <c r="N597" s="83"/>
      <c r="O597" s="82"/>
      <c r="P597" t="s">
        <v>851</v>
      </c>
    </row>
    <row r="598" spans="1:18" x14ac:dyDescent="0.25">
      <c r="A598" s="81"/>
      <c r="B598" s="99"/>
      <c r="C598" s="96"/>
      <c r="D598" s="96"/>
      <c r="E598" s="96"/>
      <c r="F598" s="93"/>
      <c r="J598" t="s">
        <v>847</v>
      </c>
      <c r="M598" s="73"/>
      <c r="N598" s="73"/>
      <c r="O598" s="71"/>
      <c r="P598" t="s">
        <v>848</v>
      </c>
    </row>
    <row r="599" spans="1:18" s="6" customFormat="1" x14ac:dyDescent="0.25">
      <c r="A599" s="80">
        <f>$A$2+155</f>
        <v>156</v>
      </c>
      <c r="B599" s="97">
        <v>10</v>
      </c>
      <c r="C599" s="94">
        <v>5</v>
      </c>
      <c r="D599" s="94">
        <v>1726</v>
      </c>
      <c r="E599" s="94">
        <f>F599-5</f>
        <v>376</v>
      </c>
      <c r="F599" s="91">
        <v>381</v>
      </c>
      <c r="G599" s="20" t="s">
        <v>507</v>
      </c>
      <c r="H599" s="20" t="s">
        <v>597</v>
      </c>
      <c r="I599" s="6" t="s">
        <v>27</v>
      </c>
      <c r="J599" s="6" t="s">
        <v>597</v>
      </c>
      <c r="M599" s="72"/>
      <c r="N599" s="72" t="s">
        <v>344</v>
      </c>
      <c r="O599" s="70"/>
      <c r="Q599" s="8"/>
      <c r="R599" s="8"/>
    </row>
    <row r="600" spans="1:18" x14ac:dyDescent="0.25">
      <c r="A600" s="81"/>
      <c r="B600" s="99"/>
      <c r="C600" s="96"/>
      <c r="D600" s="96"/>
      <c r="E600" s="96"/>
      <c r="F600" s="93"/>
      <c r="I600" t="s">
        <v>27</v>
      </c>
      <c r="J600" t="s">
        <v>507</v>
      </c>
      <c r="M600" s="73"/>
      <c r="N600" s="73"/>
      <c r="O600" s="71"/>
    </row>
    <row r="601" spans="1:18" s="6" customFormat="1" ht="16.5" customHeight="1" x14ac:dyDescent="0.25">
      <c r="A601" s="25">
        <f>$A$2+156</f>
        <v>157</v>
      </c>
      <c r="B601" s="4">
        <v>11</v>
      </c>
      <c r="C601" s="4">
        <v>5</v>
      </c>
      <c r="D601" s="4">
        <v>1726</v>
      </c>
      <c r="E601" s="4">
        <f>F601-5</f>
        <v>377</v>
      </c>
      <c r="F601" s="3">
        <v>382</v>
      </c>
      <c r="G601" s="22" t="s">
        <v>854</v>
      </c>
      <c r="H601" s="22" t="s">
        <v>507</v>
      </c>
      <c r="I601" s="5" t="s">
        <v>27</v>
      </c>
      <c r="J601" s="5" t="s">
        <v>507</v>
      </c>
      <c r="K601" s="5" t="s">
        <v>853</v>
      </c>
      <c r="L601" s="5"/>
      <c r="M601" s="27" t="s">
        <v>855</v>
      </c>
      <c r="N601" s="27" t="s">
        <v>20</v>
      </c>
      <c r="O601" s="35" t="s">
        <v>856</v>
      </c>
      <c r="Q601" s="8"/>
      <c r="R601" s="8"/>
    </row>
    <row r="602" spans="1:18" s="6" customFormat="1" x14ac:dyDescent="0.25">
      <c r="A602" s="80">
        <f>$A$2+157</f>
        <v>158</v>
      </c>
      <c r="B602" s="97">
        <v>13</v>
      </c>
      <c r="C602" s="94">
        <v>5</v>
      </c>
      <c r="D602" s="94">
        <v>1726</v>
      </c>
      <c r="E602" s="94">
        <f>F602-5</f>
        <v>377</v>
      </c>
      <c r="F602" s="91">
        <v>382</v>
      </c>
      <c r="G602" s="20" t="s">
        <v>857</v>
      </c>
      <c r="H602" s="20" t="s">
        <v>858</v>
      </c>
      <c r="I602" s="6" t="s">
        <v>27</v>
      </c>
      <c r="J602" s="6" t="s">
        <v>857</v>
      </c>
      <c r="M602" s="72" t="s">
        <v>855</v>
      </c>
      <c r="N602" s="72" t="s">
        <v>20</v>
      </c>
      <c r="O602" s="70" t="s">
        <v>859</v>
      </c>
      <c r="Q602" s="8"/>
      <c r="R602" s="8"/>
    </row>
    <row r="603" spans="1:18" x14ac:dyDescent="0.25">
      <c r="A603" s="81"/>
      <c r="B603" s="99"/>
      <c r="C603" s="96"/>
      <c r="D603" s="96"/>
      <c r="E603" s="96"/>
      <c r="F603" s="93"/>
      <c r="I603" t="s">
        <v>27</v>
      </c>
      <c r="J603" t="s">
        <v>858</v>
      </c>
      <c r="M603" s="73"/>
      <c r="N603" s="73"/>
      <c r="O603" s="71"/>
    </row>
    <row r="604" spans="1:18" s="6" customFormat="1" x14ac:dyDescent="0.25">
      <c r="A604" s="80">
        <f>$A$2+158</f>
        <v>159</v>
      </c>
      <c r="B604" s="97">
        <v>17</v>
      </c>
      <c r="C604" s="94">
        <v>5</v>
      </c>
      <c r="D604" s="94">
        <v>1726</v>
      </c>
      <c r="E604" s="94">
        <f>F604-5</f>
        <v>377</v>
      </c>
      <c r="F604" s="91">
        <v>382</v>
      </c>
      <c r="G604" s="20" t="s">
        <v>854</v>
      </c>
      <c r="H604" s="20" t="s">
        <v>507</v>
      </c>
      <c r="I604" s="6" t="s">
        <v>27</v>
      </c>
      <c r="J604" s="6" t="s">
        <v>507</v>
      </c>
      <c r="M604" s="72" t="s">
        <v>855</v>
      </c>
      <c r="N604" s="72" t="s">
        <v>9</v>
      </c>
      <c r="O604" s="70" t="s">
        <v>861</v>
      </c>
      <c r="P604" s="6" t="s">
        <v>862</v>
      </c>
      <c r="Q604" s="8"/>
      <c r="R604" s="8"/>
    </row>
    <row r="605" spans="1:18" x14ac:dyDescent="0.25">
      <c r="A605" s="81"/>
      <c r="B605" s="99"/>
      <c r="C605" s="96"/>
      <c r="D605" s="96"/>
      <c r="E605" s="96"/>
      <c r="F605" s="93"/>
      <c r="I605" t="s">
        <v>27</v>
      </c>
      <c r="J605" t="s">
        <v>860</v>
      </c>
      <c r="M605" s="73"/>
      <c r="N605" s="73"/>
      <c r="O605" s="71"/>
    </row>
    <row r="606" spans="1:18" s="6" customFormat="1" x14ac:dyDescent="0.25">
      <c r="A606" s="80">
        <f>$A$2+159</f>
        <v>160</v>
      </c>
      <c r="B606" s="97">
        <v>17</v>
      </c>
      <c r="C606" s="94">
        <v>5</v>
      </c>
      <c r="D606" s="94">
        <v>1726</v>
      </c>
      <c r="E606" s="94">
        <f>F606-5</f>
        <v>377</v>
      </c>
      <c r="F606" s="91">
        <v>382</v>
      </c>
      <c r="G606" s="20" t="s">
        <v>724</v>
      </c>
      <c r="H606" s="20" t="s">
        <v>863</v>
      </c>
      <c r="I606" s="6" t="s">
        <v>27</v>
      </c>
      <c r="J606" s="6" t="s">
        <v>507</v>
      </c>
      <c r="K606" s="6" t="s">
        <v>868</v>
      </c>
      <c r="M606" s="72" t="s">
        <v>865</v>
      </c>
      <c r="N606" s="72" t="s">
        <v>53</v>
      </c>
      <c r="O606" s="70" t="s">
        <v>867</v>
      </c>
      <c r="P606" s="6" t="s">
        <v>864</v>
      </c>
      <c r="Q606" s="8"/>
      <c r="R606" s="8"/>
    </row>
    <row r="607" spans="1:18" x14ac:dyDescent="0.25">
      <c r="A607" s="81"/>
      <c r="B607" s="99"/>
      <c r="C607" s="96"/>
      <c r="D607" s="96"/>
      <c r="E607" s="96"/>
      <c r="F607" s="93"/>
      <c r="I607" t="s">
        <v>27</v>
      </c>
      <c r="J607" t="s">
        <v>860</v>
      </c>
      <c r="K607" t="s">
        <v>866</v>
      </c>
      <c r="M607" s="73"/>
      <c r="N607" s="73"/>
      <c r="O607" s="71"/>
    </row>
    <row r="608" spans="1:18" s="6" customFormat="1" x14ac:dyDescent="0.25">
      <c r="A608" s="80">
        <f>$A$2+160</f>
        <v>161</v>
      </c>
      <c r="B608" s="97">
        <v>17</v>
      </c>
      <c r="C608" s="94">
        <v>5</v>
      </c>
      <c r="D608" s="94">
        <v>1726</v>
      </c>
      <c r="E608" s="94">
        <f>F608-5</f>
        <v>378</v>
      </c>
      <c r="F608" s="91">
        <v>383</v>
      </c>
      <c r="G608" s="20" t="s">
        <v>838</v>
      </c>
      <c r="H608" s="20" t="s">
        <v>869</v>
      </c>
      <c r="J608" s="6" t="s">
        <v>838</v>
      </c>
      <c r="M608" s="72" t="s">
        <v>855</v>
      </c>
      <c r="N608" s="72" t="s">
        <v>53</v>
      </c>
      <c r="O608" s="70" t="s">
        <v>870</v>
      </c>
      <c r="Q608" s="8"/>
      <c r="R608" s="8"/>
    </row>
    <row r="609" spans="1:18" x14ac:dyDescent="0.25">
      <c r="A609" s="81"/>
      <c r="B609" s="99"/>
      <c r="C609" s="96"/>
      <c r="D609" s="96"/>
      <c r="E609" s="96"/>
      <c r="F609" s="93"/>
      <c r="J609" t="s">
        <v>869</v>
      </c>
      <c r="K609" t="s">
        <v>651</v>
      </c>
      <c r="M609" s="73"/>
      <c r="N609" s="73"/>
      <c r="O609" s="71"/>
    </row>
    <row r="610" spans="1:18" s="6" customFormat="1" x14ac:dyDescent="0.25">
      <c r="A610" s="80">
        <f>$A$2+161</f>
        <v>162</v>
      </c>
      <c r="B610" s="97">
        <v>21</v>
      </c>
      <c r="C610" s="94">
        <v>5</v>
      </c>
      <c r="D610" s="94">
        <v>1726</v>
      </c>
      <c r="E610" s="94">
        <f>F610-5</f>
        <v>378</v>
      </c>
      <c r="F610" s="91">
        <v>383</v>
      </c>
      <c r="G610" s="20"/>
      <c r="H610" s="20"/>
      <c r="I610" s="6" t="s">
        <v>27</v>
      </c>
      <c r="J610" s="6" t="s">
        <v>871</v>
      </c>
      <c r="L610" s="6" t="s">
        <v>872</v>
      </c>
      <c r="M610" s="72" t="s">
        <v>594</v>
      </c>
      <c r="N610" s="72" t="s">
        <v>600</v>
      </c>
      <c r="O610" s="70"/>
      <c r="P610" s="6" t="s">
        <v>873</v>
      </c>
      <c r="Q610" s="8"/>
      <c r="R610" s="8"/>
    </row>
    <row r="611" spans="1:18" x14ac:dyDescent="0.25">
      <c r="A611" s="87"/>
      <c r="B611" s="98"/>
      <c r="C611" s="95"/>
      <c r="D611" s="95"/>
      <c r="E611" s="95"/>
      <c r="F611" s="92"/>
      <c r="I611" t="s">
        <v>103</v>
      </c>
      <c r="J611" t="s">
        <v>595</v>
      </c>
      <c r="K611" t="s">
        <v>585</v>
      </c>
      <c r="M611" s="83"/>
      <c r="N611" s="83"/>
      <c r="O611" s="82"/>
    </row>
    <row r="612" spans="1:18" x14ac:dyDescent="0.25">
      <c r="A612" s="87"/>
      <c r="B612" s="98"/>
      <c r="C612" s="95"/>
      <c r="D612" s="95"/>
      <c r="E612" s="95"/>
      <c r="F612" s="92"/>
      <c r="I612" t="s">
        <v>103</v>
      </c>
      <c r="J612" t="s">
        <v>586</v>
      </c>
      <c r="K612" t="s">
        <v>587</v>
      </c>
      <c r="M612" s="83"/>
      <c r="N612" s="83"/>
      <c r="O612" s="82"/>
    </row>
    <row r="613" spans="1:18" x14ac:dyDescent="0.25">
      <c r="A613" s="87"/>
      <c r="B613" s="98"/>
      <c r="C613" s="95"/>
      <c r="D613" s="95"/>
      <c r="E613" s="95"/>
      <c r="F613" s="92"/>
      <c r="I613" t="s">
        <v>103</v>
      </c>
      <c r="J613" t="s">
        <v>784</v>
      </c>
      <c r="K613" t="s">
        <v>591</v>
      </c>
      <c r="M613" s="83"/>
      <c r="N613" s="83"/>
      <c r="O613" s="82"/>
    </row>
    <row r="614" spans="1:18" x14ac:dyDescent="0.25">
      <c r="A614" s="87"/>
      <c r="B614" s="98"/>
      <c r="C614" s="95"/>
      <c r="D614" s="95"/>
      <c r="E614" s="95"/>
      <c r="F614" s="92"/>
      <c r="I614" t="s">
        <v>103</v>
      </c>
      <c r="J614" t="s">
        <v>843</v>
      </c>
      <c r="K614" t="s">
        <v>591</v>
      </c>
      <c r="M614" s="83"/>
      <c r="N614" s="83"/>
      <c r="O614" s="82"/>
    </row>
    <row r="615" spans="1:18" x14ac:dyDescent="0.25">
      <c r="A615" s="81"/>
      <c r="B615" s="99"/>
      <c r="C615" s="96"/>
      <c r="D615" s="96"/>
      <c r="E615" s="96"/>
      <c r="F615" s="93"/>
      <c r="I615" t="s">
        <v>103</v>
      </c>
      <c r="J615" t="s">
        <v>643</v>
      </c>
      <c r="K615" t="s">
        <v>591</v>
      </c>
      <c r="M615" s="73"/>
      <c r="N615" s="73"/>
      <c r="O615" s="71"/>
    </row>
    <row r="616" spans="1:18" s="6" customFormat="1" x14ac:dyDescent="0.25">
      <c r="A616" s="80">
        <f>$A$2+162</f>
        <v>163</v>
      </c>
      <c r="B616" s="97">
        <v>21</v>
      </c>
      <c r="C616" s="94">
        <v>5</v>
      </c>
      <c r="D616" s="94">
        <v>1726</v>
      </c>
      <c r="E616" s="94">
        <f>F616-5</f>
        <v>378</v>
      </c>
      <c r="F616" s="91">
        <v>383</v>
      </c>
      <c r="G616" s="20" t="s">
        <v>874</v>
      </c>
      <c r="H616" s="20" t="s">
        <v>838</v>
      </c>
      <c r="J616" s="6" t="s">
        <v>874</v>
      </c>
      <c r="M616" s="72" t="s">
        <v>876</v>
      </c>
      <c r="N616" s="72" t="s">
        <v>20</v>
      </c>
      <c r="O616" s="70" t="s">
        <v>877</v>
      </c>
      <c r="Q616" s="8"/>
      <c r="R616" s="8"/>
    </row>
    <row r="617" spans="1:18" x14ac:dyDescent="0.25">
      <c r="A617" s="87"/>
      <c r="B617" s="98"/>
      <c r="C617" s="95"/>
      <c r="D617" s="95"/>
      <c r="E617" s="95"/>
      <c r="F617" s="92"/>
      <c r="I617" t="s">
        <v>27</v>
      </c>
      <c r="J617" t="s">
        <v>838</v>
      </c>
      <c r="M617" s="83"/>
      <c r="N617" s="83"/>
      <c r="O617" s="82"/>
    </row>
    <row r="618" spans="1:18" x14ac:dyDescent="0.25">
      <c r="A618" s="81"/>
      <c r="B618" s="99"/>
      <c r="C618" s="96"/>
      <c r="D618" s="96"/>
      <c r="E618" s="96"/>
      <c r="F618" s="93"/>
      <c r="J618" t="s">
        <v>458</v>
      </c>
      <c r="K618" t="s">
        <v>875</v>
      </c>
      <c r="M618" s="73"/>
      <c r="N618" s="73"/>
      <c r="O618" s="71"/>
    </row>
    <row r="619" spans="1:18" s="6" customFormat="1" x14ac:dyDescent="0.25">
      <c r="A619" s="80">
        <f>$A$2+163</f>
        <v>164</v>
      </c>
      <c r="B619" s="97">
        <v>21</v>
      </c>
      <c r="C619" s="94">
        <v>5</v>
      </c>
      <c r="D619" s="94">
        <v>1726</v>
      </c>
      <c r="E619" s="94">
        <f>F619-5</f>
        <v>379</v>
      </c>
      <c r="F619" s="91">
        <v>384</v>
      </c>
      <c r="G619" s="20" t="s">
        <v>878</v>
      </c>
      <c r="H619" s="20" t="s">
        <v>881</v>
      </c>
      <c r="I619" s="6" t="s">
        <v>27</v>
      </c>
      <c r="J619" s="6" t="s">
        <v>878</v>
      </c>
      <c r="K619" s="6" t="s">
        <v>879</v>
      </c>
      <c r="M619" s="72" t="s">
        <v>888</v>
      </c>
      <c r="N619" s="72" t="s">
        <v>20</v>
      </c>
      <c r="O619" s="70" t="s">
        <v>889</v>
      </c>
      <c r="P619" s="6" t="s">
        <v>880</v>
      </c>
      <c r="Q619" s="8"/>
      <c r="R619" s="8"/>
    </row>
    <row r="620" spans="1:18" x14ac:dyDescent="0.25">
      <c r="A620" s="87"/>
      <c r="B620" s="98"/>
      <c r="C620" s="95"/>
      <c r="D620" s="95"/>
      <c r="E620" s="95"/>
      <c r="F620" s="92"/>
      <c r="I620" t="s">
        <v>339</v>
      </c>
      <c r="J620" t="s">
        <v>881</v>
      </c>
      <c r="M620" s="83"/>
      <c r="N620" s="83"/>
      <c r="O620" s="82"/>
      <c r="P620" t="s">
        <v>887</v>
      </c>
    </row>
    <row r="621" spans="1:18" x14ac:dyDescent="0.25">
      <c r="A621" s="87"/>
      <c r="B621" s="98"/>
      <c r="C621" s="95"/>
      <c r="D621" s="95"/>
      <c r="E621" s="95"/>
      <c r="F621" s="92"/>
      <c r="J621" t="s">
        <v>882</v>
      </c>
      <c r="M621" s="83"/>
      <c r="N621" s="83"/>
      <c r="O621" s="82"/>
      <c r="P621" t="s">
        <v>886</v>
      </c>
    </row>
    <row r="622" spans="1:18" x14ac:dyDescent="0.25">
      <c r="A622" s="87"/>
      <c r="B622" s="98"/>
      <c r="C622" s="95"/>
      <c r="D622" s="95"/>
      <c r="E622" s="95"/>
      <c r="F622" s="92"/>
      <c r="J622" t="s">
        <v>883</v>
      </c>
      <c r="M622" s="83"/>
      <c r="N622" s="83"/>
      <c r="O622" s="82"/>
      <c r="P622" t="s">
        <v>886</v>
      </c>
    </row>
    <row r="623" spans="1:18" x14ac:dyDescent="0.25">
      <c r="A623" s="87"/>
      <c r="B623" s="98"/>
      <c r="C623" s="95"/>
      <c r="D623" s="95"/>
      <c r="E623" s="95"/>
      <c r="F623" s="92"/>
      <c r="J623" t="s">
        <v>884</v>
      </c>
      <c r="M623" s="83"/>
      <c r="N623" s="83"/>
      <c r="O623" s="82"/>
      <c r="P623" t="s">
        <v>886</v>
      </c>
    </row>
    <row r="624" spans="1:18" x14ac:dyDescent="0.25">
      <c r="A624" s="81"/>
      <c r="B624" s="99"/>
      <c r="C624" s="96"/>
      <c r="D624" s="96"/>
      <c r="E624" s="96"/>
      <c r="F624" s="93"/>
      <c r="J624" t="s">
        <v>885</v>
      </c>
      <c r="M624" s="73"/>
      <c r="N624" s="73"/>
      <c r="O624" s="71"/>
      <c r="P624" t="s">
        <v>886</v>
      </c>
    </row>
    <row r="625" spans="1:18" s="6" customFormat="1" x14ac:dyDescent="0.25">
      <c r="A625" s="80">
        <f>$A$2+164</f>
        <v>165</v>
      </c>
      <c r="B625" s="97">
        <v>29</v>
      </c>
      <c r="C625" s="94">
        <v>5</v>
      </c>
      <c r="D625" s="94">
        <v>1726</v>
      </c>
      <c r="E625" s="94">
        <f>F625-5</f>
        <v>379</v>
      </c>
      <c r="F625" s="91">
        <v>384</v>
      </c>
      <c r="G625" s="20"/>
      <c r="H625" s="20"/>
      <c r="J625" s="6" t="s">
        <v>874</v>
      </c>
      <c r="K625" s="6" t="s">
        <v>890</v>
      </c>
      <c r="M625" s="72" t="s">
        <v>876</v>
      </c>
      <c r="N625" s="72" t="s">
        <v>9</v>
      </c>
      <c r="O625" s="70" t="s">
        <v>894</v>
      </c>
      <c r="Q625" s="8"/>
      <c r="R625" s="8"/>
    </row>
    <row r="626" spans="1:18" x14ac:dyDescent="0.25">
      <c r="A626" s="87"/>
      <c r="B626" s="98"/>
      <c r="C626" s="95"/>
      <c r="D626" s="95"/>
      <c r="E626" s="95"/>
      <c r="F626" s="92"/>
      <c r="I626" t="s">
        <v>29</v>
      </c>
      <c r="J626" t="s">
        <v>891</v>
      </c>
      <c r="M626" s="83"/>
      <c r="N626" s="83"/>
      <c r="O626" s="82"/>
    </row>
    <row r="627" spans="1:18" x14ac:dyDescent="0.25">
      <c r="A627" s="81"/>
      <c r="B627" s="99"/>
      <c r="C627" s="96"/>
      <c r="D627" s="96"/>
      <c r="E627" s="96"/>
      <c r="F627" s="93"/>
      <c r="J627" t="s">
        <v>892</v>
      </c>
      <c r="K627" t="s">
        <v>893</v>
      </c>
      <c r="M627" s="73"/>
      <c r="N627" s="73"/>
      <c r="O627" s="71"/>
    </row>
    <row r="628" spans="1:18" s="6" customFormat="1" x14ac:dyDescent="0.25">
      <c r="A628" s="80">
        <f>$A$2+165</f>
        <v>166</v>
      </c>
      <c r="B628" s="97">
        <v>29</v>
      </c>
      <c r="C628" s="94">
        <v>5</v>
      </c>
      <c r="D628" s="94">
        <v>1726</v>
      </c>
      <c r="E628" s="94">
        <f>F628-5</f>
        <v>379</v>
      </c>
      <c r="F628" s="91">
        <v>384</v>
      </c>
      <c r="G628" s="20" t="s">
        <v>895</v>
      </c>
      <c r="H628" s="20" t="s">
        <v>896</v>
      </c>
      <c r="I628" s="6" t="s">
        <v>27</v>
      </c>
      <c r="J628" s="6" t="s">
        <v>895</v>
      </c>
      <c r="M628" s="72"/>
      <c r="N628" s="72" t="s">
        <v>905</v>
      </c>
      <c r="O628" s="70"/>
      <c r="Q628" s="8"/>
      <c r="R628" s="8"/>
    </row>
    <row r="629" spans="1:18" x14ac:dyDescent="0.25">
      <c r="A629" s="87"/>
      <c r="B629" s="98"/>
      <c r="C629" s="95"/>
      <c r="D629" s="95"/>
      <c r="E629" s="95"/>
      <c r="F629" s="92"/>
      <c r="H629" s="18" t="s">
        <v>897</v>
      </c>
      <c r="I629" t="s">
        <v>27</v>
      </c>
      <c r="J629" t="s">
        <v>896</v>
      </c>
      <c r="M629" s="83"/>
      <c r="N629" s="83"/>
      <c r="O629" s="82"/>
    </row>
    <row r="630" spans="1:18" x14ac:dyDescent="0.25">
      <c r="A630" s="81"/>
      <c r="B630" s="99"/>
      <c r="C630" s="96"/>
      <c r="D630" s="96"/>
      <c r="E630" s="96"/>
      <c r="F630" s="93"/>
      <c r="J630" t="s">
        <v>897</v>
      </c>
      <c r="L630" t="s">
        <v>898</v>
      </c>
      <c r="M630" s="73"/>
      <c r="N630" s="73"/>
      <c r="O630" s="71"/>
    </row>
    <row r="631" spans="1:18" s="6" customFormat="1" x14ac:dyDescent="0.25">
      <c r="A631" s="80">
        <f>$A$2+166</f>
        <v>167</v>
      </c>
      <c r="B631" s="97">
        <v>29</v>
      </c>
      <c r="C631" s="94">
        <v>5</v>
      </c>
      <c r="D631" s="94">
        <v>1726</v>
      </c>
      <c r="E631" s="94">
        <f>F631-5</f>
        <v>379</v>
      </c>
      <c r="F631" s="91">
        <v>384</v>
      </c>
      <c r="G631" s="20" t="s">
        <v>899</v>
      </c>
      <c r="H631" s="20" t="s">
        <v>900</v>
      </c>
      <c r="I631" s="6" t="s">
        <v>27</v>
      </c>
      <c r="J631" s="6" t="s">
        <v>899</v>
      </c>
      <c r="M631" s="72" t="s">
        <v>902</v>
      </c>
      <c r="N631" s="72" t="s">
        <v>20</v>
      </c>
      <c r="O631" s="70" t="s">
        <v>903</v>
      </c>
      <c r="Q631" s="8"/>
      <c r="R631" s="8"/>
    </row>
    <row r="632" spans="1:18" x14ac:dyDescent="0.25">
      <c r="A632" s="87"/>
      <c r="B632" s="98"/>
      <c r="C632" s="95"/>
      <c r="D632" s="95"/>
      <c r="E632" s="95"/>
      <c r="F632" s="92"/>
      <c r="I632" t="s">
        <v>27</v>
      </c>
      <c r="J632" t="s">
        <v>900</v>
      </c>
      <c r="M632" s="83"/>
      <c r="N632" s="83"/>
      <c r="O632" s="82"/>
    </row>
    <row r="633" spans="1:18" x14ac:dyDescent="0.25">
      <c r="A633" s="81"/>
      <c r="B633" s="99"/>
      <c r="C633" s="96"/>
      <c r="D633" s="96"/>
      <c r="E633" s="96"/>
      <c r="F633" s="93"/>
      <c r="J633" t="s">
        <v>901</v>
      </c>
      <c r="M633" s="73"/>
      <c r="N633" s="73"/>
      <c r="O633" s="71"/>
    </row>
    <row r="634" spans="1:18" s="6" customFormat="1" x14ac:dyDescent="0.25">
      <c r="A634" s="80">
        <f>$A$2+167</f>
        <v>168</v>
      </c>
      <c r="B634" s="97">
        <v>8</v>
      </c>
      <c r="C634" s="94">
        <v>6</v>
      </c>
      <c r="D634" s="94">
        <v>1726</v>
      </c>
      <c r="E634" s="94">
        <f>F634-5</f>
        <v>380</v>
      </c>
      <c r="F634" s="91">
        <v>385</v>
      </c>
      <c r="G634" s="20"/>
      <c r="H634" s="20"/>
      <c r="J634" s="6" t="s">
        <v>838</v>
      </c>
      <c r="M634" s="72" t="s">
        <v>904</v>
      </c>
      <c r="N634" s="72" t="s">
        <v>53</v>
      </c>
      <c r="O634" s="70"/>
      <c r="Q634" s="8"/>
      <c r="R634" s="8"/>
    </row>
    <row r="635" spans="1:18" x14ac:dyDescent="0.25">
      <c r="A635" s="81"/>
      <c r="B635" s="99"/>
      <c r="C635" s="96"/>
      <c r="D635" s="96"/>
      <c r="E635" s="96"/>
      <c r="F635" s="93"/>
      <c r="J635" t="s">
        <v>869</v>
      </c>
      <c r="M635" s="73"/>
      <c r="N635" s="73"/>
      <c r="O635" s="71"/>
    </row>
    <row r="636" spans="1:18" s="6" customFormat="1" ht="16.5" customHeight="1" x14ac:dyDescent="0.25">
      <c r="A636" s="25">
        <f>$A$2+168</f>
        <v>169</v>
      </c>
      <c r="B636" s="4">
        <v>8</v>
      </c>
      <c r="C636" s="4">
        <v>6</v>
      </c>
      <c r="D636" s="4">
        <v>1726</v>
      </c>
      <c r="E636" s="4">
        <f>F636-5</f>
        <v>380</v>
      </c>
      <c r="F636" s="3">
        <v>385</v>
      </c>
      <c r="G636" s="20"/>
      <c r="H636" s="20"/>
      <c r="J636" s="6" t="s">
        <v>838</v>
      </c>
      <c r="M636" s="27" t="s">
        <v>809</v>
      </c>
      <c r="N636" s="27" t="s">
        <v>84</v>
      </c>
      <c r="O636" s="35"/>
      <c r="Q636" s="8"/>
      <c r="R636" s="8"/>
    </row>
    <row r="637" spans="1:18" s="6" customFormat="1" x14ac:dyDescent="0.25">
      <c r="A637" s="80">
        <f>$A$2+169</f>
        <v>170</v>
      </c>
      <c r="B637" s="97">
        <v>6</v>
      </c>
      <c r="C637" s="94">
        <v>9</v>
      </c>
      <c r="D637" s="94">
        <v>1726</v>
      </c>
      <c r="E637" s="94">
        <f>F637-5</f>
        <v>380</v>
      </c>
      <c r="F637" s="91">
        <v>385</v>
      </c>
      <c r="G637" s="20" t="s">
        <v>675</v>
      </c>
      <c r="H637" s="20" t="s">
        <v>906</v>
      </c>
      <c r="I637" s="6" t="s">
        <v>31</v>
      </c>
      <c r="J637" s="6" t="s">
        <v>906</v>
      </c>
      <c r="M637" s="72"/>
      <c r="N637" s="72" t="s">
        <v>344</v>
      </c>
      <c r="O637" s="70"/>
      <c r="Q637" s="8"/>
      <c r="R637" s="8"/>
    </row>
    <row r="638" spans="1:18" x14ac:dyDescent="0.25">
      <c r="A638" s="81"/>
      <c r="B638" s="99"/>
      <c r="C638" s="96"/>
      <c r="D638" s="96"/>
      <c r="E638" s="96"/>
      <c r="F638" s="93"/>
      <c r="I638" t="s">
        <v>27</v>
      </c>
      <c r="J638" t="s">
        <v>675</v>
      </c>
      <c r="M638" s="73"/>
      <c r="N638" s="73"/>
      <c r="O638" s="71"/>
    </row>
    <row r="639" spans="1:18" s="6" customFormat="1" x14ac:dyDescent="0.25">
      <c r="A639" s="80">
        <f>$A$2+170</f>
        <v>171</v>
      </c>
      <c r="B639" s="97">
        <v>9</v>
      </c>
      <c r="C639" s="94">
        <v>9</v>
      </c>
      <c r="D639" s="94">
        <v>1726</v>
      </c>
      <c r="E639" s="94">
        <f>F639-5</f>
        <v>380</v>
      </c>
      <c r="F639" s="91">
        <v>385</v>
      </c>
      <c r="G639" s="20" t="s">
        <v>256</v>
      </c>
      <c r="H639" s="20" t="s">
        <v>908</v>
      </c>
      <c r="J639" s="6" t="s">
        <v>256</v>
      </c>
      <c r="M639" s="72" t="s">
        <v>909</v>
      </c>
      <c r="N639" s="72" t="s">
        <v>53</v>
      </c>
      <c r="O639" s="70" t="s">
        <v>910</v>
      </c>
      <c r="Q639" s="8"/>
      <c r="R639" s="8"/>
    </row>
    <row r="640" spans="1:18" x14ac:dyDescent="0.25">
      <c r="A640" s="87"/>
      <c r="B640" s="98"/>
      <c r="C640" s="95"/>
      <c r="D640" s="95"/>
      <c r="E640" s="95"/>
      <c r="F640" s="92"/>
      <c r="J640" t="s">
        <v>907</v>
      </c>
      <c r="M640" s="83"/>
      <c r="N640" s="83"/>
      <c r="O640" s="82"/>
    </row>
    <row r="641" spans="1:18" x14ac:dyDescent="0.25">
      <c r="A641" s="81"/>
      <c r="B641" s="99"/>
      <c r="C641" s="96"/>
      <c r="D641" s="96"/>
      <c r="E641" s="96"/>
      <c r="F641" s="93"/>
      <c r="J641" t="s">
        <v>908</v>
      </c>
      <c r="M641" s="73"/>
      <c r="N641" s="73"/>
      <c r="O641" s="71"/>
    </row>
    <row r="642" spans="1:18" s="6" customFormat="1" x14ac:dyDescent="0.25">
      <c r="A642" s="80">
        <f>$A$2+171</f>
        <v>172</v>
      </c>
      <c r="B642" s="97">
        <v>23</v>
      </c>
      <c r="C642" s="94">
        <v>9</v>
      </c>
      <c r="D642" s="94">
        <v>1726</v>
      </c>
      <c r="E642" s="94">
        <f>F642-5</f>
        <v>381</v>
      </c>
      <c r="F642" s="91">
        <v>386</v>
      </c>
      <c r="G642" s="20" t="s">
        <v>911</v>
      </c>
      <c r="H642" s="20" t="s">
        <v>123</v>
      </c>
      <c r="I642" s="6" t="s">
        <v>27</v>
      </c>
      <c r="J642" s="6" t="s">
        <v>123</v>
      </c>
      <c r="M642" s="72" t="s">
        <v>913</v>
      </c>
      <c r="N642" s="72" t="s">
        <v>20</v>
      </c>
      <c r="O642" s="70" t="s">
        <v>914</v>
      </c>
      <c r="Q642" s="8"/>
      <c r="R642" s="8"/>
    </row>
    <row r="643" spans="1:18" x14ac:dyDescent="0.25">
      <c r="A643" s="81"/>
      <c r="B643" s="99"/>
      <c r="C643" s="96"/>
      <c r="D643" s="96"/>
      <c r="E643" s="96"/>
      <c r="F643" s="93"/>
      <c r="J643" t="s">
        <v>458</v>
      </c>
      <c r="K643" t="s">
        <v>912</v>
      </c>
      <c r="M643" s="73"/>
      <c r="N643" s="73"/>
      <c r="O643" s="71"/>
    </row>
    <row r="644" spans="1:18" s="6" customFormat="1" x14ac:dyDescent="0.25">
      <c r="A644" s="80">
        <f>$A$2+172</f>
        <v>173</v>
      </c>
      <c r="B644" s="97">
        <v>1</v>
      </c>
      <c r="C644" s="94">
        <v>10</v>
      </c>
      <c r="D644" s="94">
        <v>1726</v>
      </c>
      <c r="E644" s="94">
        <f>F644-5</f>
        <v>381</v>
      </c>
      <c r="F644" s="91">
        <v>386</v>
      </c>
      <c r="G644" s="20" t="s">
        <v>915</v>
      </c>
      <c r="H644" s="20" t="s">
        <v>317</v>
      </c>
      <c r="I644" s="6" t="s">
        <v>27</v>
      </c>
      <c r="J644" s="6" t="s">
        <v>317</v>
      </c>
      <c r="M644" s="72" t="s">
        <v>917</v>
      </c>
      <c r="N644" s="72" t="s">
        <v>20</v>
      </c>
      <c r="O644" s="70" t="s">
        <v>918</v>
      </c>
      <c r="Q644" s="8"/>
      <c r="R644" s="8"/>
    </row>
    <row r="645" spans="1:18" x14ac:dyDescent="0.25">
      <c r="A645" s="81"/>
      <c r="B645" s="99"/>
      <c r="C645" s="96"/>
      <c r="D645" s="96"/>
      <c r="E645" s="96"/>
      <c r="F645" s="93"/>
      <c r="J645" t="s">
        <v>916</v>
      </c>
      <c r="M645" s="73"/>
      <c r="N645" s="73"/>
      <c r="O645" s="71"/>
    </row>
    <row r="646" spans="1:18" s="6" customFormat="1" x14ac:dyDescent="0.25">
      <c r="A646" s="80">
        <f>$A$2+173</f>
        <v>174</v>
      </c>
      <c r="B646" s="97">
        <v>23</v>
      </c>
      <c r="C646" s="94">
        <v>10</v>
      </c>
      <c r="D646" s="94">
        <v>1726</v>
      </c>
      <c r="E646" s="94">
        <f>F646-5</f>
        <v>381</v>
      </c>
      <c r="F646" s="91">
        <v>386</v>
      </c>
      <c r="G646" s="20"/>
      <c r="H646" s="20"/>
      <c r="I646" s="6" t="s">
        <v>104</v>
      </c>
      <c r="J646" s="6" t="s">
        <v>919</v>
      </c>
      <c r="K646" s="6" t="s">
        <v>920</v>
      </c>
      <c r="M646" s="72" t="s">
        <v>921</v>
      </c>
      <c r="N646" s="72" t="s">
        <v>984</v>
      </c>
      <c r="O646" s="70" t="s">
        <v>923</v>
      </c>
      <c r="Q646" s="8"/>
      <c r="R646" s="8"/>
    </row>
    <row r="647" spans="1:18" x14ac:dyDescent="0.25">
      <c r="A647" s="81"/>
      <c r="B647" s="99"/>
      <c r="C647" s="96"/>
      <c r="D647" s="96"/>
      <c r="E647" s="96"/>
      <c r="F647" s="93"/>
      <c r="J647" t="s">
        <v>922</v>
      </c>
      <c r="M647" s="73"/>
      <c r="N647" s="73"/>
      <c r="O647" s="71"/>
    </row>
    <row r="648" spans="1:18" s="6" customFormat="1" x14ac:dyDescent="0.25">
      <c r="A648" s="80">
        <f>$A$2+174</f>
        <v>175</v>
      </c>
      <c r="B648" s="97">
        <v>23</v>
      </c>
      <c r="C648" s="94">
        <v>10</v>
      </c>
      <c r="D648" s="94">
        <v>1726</v>
      </c>
      <c r="E648" s="94">
        <f>F648-5</f>
        <v>382</v>
      </c>
      <c r="F648" s="91">
        <v>387</v>
      </c>
      <c r="G648" s="20" t="s">
        <v>129</v>
      </c>
      <c r="H648" s="20" t="s">
        <v>342</v>
      </c>
      <c r="I648" s="6" t="s">
        <v>27</v>
      </c>
      <c r="J648" s="6" t="s">
        <v>129</v>
      </c>
      <c r="M648" s="72" t="s">
        <v>921</v>
      </c>
      <c r="N648" s="72" t="s">
        <v>984</v>
      </c>
      <c r="O648" s="70" t="s">
        <v>924</v>
      </c>
      <c r="Q648" s="8"/>
      <c r="R648" s="8"/>
    </row>
    <row r="649" spans="1:18" x14ac:dyDescent="0.25">
      <c r="A649" s="81"/>
      <c r="B649" s="99"/>
      <c r="C649" s="96"/>
      <c r="D649" s="96"/>
      <c r="E649" s="96"/>
      <c r="F649" s="93"/>
      <c r="J649" t="s">
        <v>342</v>
      </c>
      <c r="M649" s="73"/>
      <c r="N649" s="73"/>
      <c r="O649" s="71"/>
    </row>
    <row r="650" spans="1:18" s="6" customFormat="1" x14ac:dyDescent="0.25">
      <c r="A650" s="80">
        <f>$A$2+175</f>
        <v>176</v>
      </c>
      <c r="B650" s="97">
        <v>27</v>
      </c>
      <c r="C650" s="94">
        <v>1</v>
      </c>
      <c r="D650" s="94">
        <v>1727</v>
      </c>
      <c r="E650" s="94">
        <f>F650-5</f>
        <v>382</v>
      </c>
      <c r="F650" s="91">
        <v>387</v>
      </c>
      <c r="G650" s="20"/>
      <c r="H650" s="20"/>
      <c r="J650" s="6" t="s">
        <v>813</v>
      </c>
      <c r="K650" s="6" t="s">
        <v>814</v>
      </c>
      <c r="M650" s="72" t="s">
        <v>812</v>
      </c>
      <c r="N650" s="72" t="s">
        <v>53</v>
      </c>
      <c r="O650" s="70" t="s">
        <v>933</v>
      </c>
      <c r="Q650" s="8"/>
      <c r="R650" s="8"/>
    </row>
    <row r="651" spans="1:18" x14ac:dyDescent="0.25">
      <c r="A651" s="87"/>
      <c r="B651" s="98"/>
      <c r="C651" s="95"/>
      <c r="D651" s="95"/>
      <c r="E651" s="95"/>
      <c r="F651" s="92"/>
      <c r="I651" t="s">
        <v>103</v>
      </c>
      <c r="J651" t="s">
        <v>818</v>
      </c>
      <c r="K651" t="s">
        <v>927</v>
      </c>
      <c r="L651" t="s">
        <v>928</v>
      </c>
      <c r="M651" s="83"/>
      <c r="N651" s="83"/>
      <c r="O651" s="82"/>
    </row>
    <row r="652" spans="1:18" x14ac:dyDescent="0.25">
      <c r="A652" s="87"/>
      <c r="B652" s="98"/>
      <c r="C652" s="95"/>
      <c r="D652" s="95"/>
      <c r="E652" s="95"/>
      <c r="F652" s="92"/>
      <c r="I652" t="s">
        <v>103</v>
      </c>
      <c r="J652" t="s">
        <v>925</v>
      </c>
      <c r="K652" t="s">
        <v>927</v>
      </c>
      <c r="L652" t="s">
        <v>929</v>
      </c>
      <c r="M652" s="83"/>
      <c r="N652" s="83"/>
      <c r="O652" s="82"/>
    </row>
    <row r="653" spans="1:18" x14ac:dyDescent="0.25">
      <c r="A653" s="87"/>
      <c r="B653" s="98"/>
      <c r="C653" s="95"/>
      <c r="D653" s="95"/>
      <c r="E653" s="95"/>
      <c r="F653" s="92"/>
      <c r="I653" t="s">
        <v>103</v>
      </c>
      <c r="J653" t="s">
        <v>75</v>
      </c>
      <c r="K653" t="s">
        <v>927</v>
      </c>
      <c r="L653" t="s">
        <v>483</v>
      </c>
      <c r="M653" s="83"/>
      <c r="N653" s="83"/>
      <c r="O653" s="82"/>
    </row>
    <row r="654" spans="1:18" x14ac:dyDescent="0.25">
      <c r="A654" s="87"/>
      <c r="B654" s="98"/>
      <c r="C654" s="95"/>
      <c r="D654" s="95"/>
      <c r="E654" s="95"/>
      <c r="F654" s="92"/>
      <c r="I654" t="s">
        <v>103</v>
      </c>
      <c r="J654" t="s">
        <v>926</v>
      </c>
      <c r="K654" t="s">
        <v>927</v>
      </c>
      <c r="L654" t="s">
        <v>483</v>
      </c>
      <c r="M654" s="83"/>
      <c r="N654" s="83"/>
      <c r="O654" s="82"/>
    </row>
    <row r="655" spans="1:18" x14ac:dyDescent="0.25">
      <c r="A655" s="87"/>
      <c r="B655" s="98"/>
      <c r="C655" s="95"/>
      <c r="D655" s="95"/>
      <c r="E655" s="95"/>
      <c r="F655" s="92"/>
      <c r="I655" t="s">
        <v>27</v>
      </c>
      <c r="J655" t="s">
        <v>930</v>
      </c>
      <c r="K655" t="s">
        <v>932</v>
      </c>
      <c r="L655" t="s">
        <v>483</v>
      </c>
      <c r="M655" s="83"/>
      <c r="N655" s="83"/>
      <c r="O655" s="82"/>
    </row>
    <row r="656" spans="1:18" x14ac:dyDescent="0.25">
      <c r="A656" s="81"/>
      <c r="B656" s="99"/>
      <c r="C656" s="96"/>
      <c r="D656" s="96"/>
      <c r="E656" s="96"/>
      <c r="F656" s="93"/>
      <c r="I656" t="s">
        <v>27</v>
      </c>
      <c r="J656" t="s">
        <v>931</v>
      </c>
      <c r="K656" t="s">
        <v>932</v>
      </c>
      <c r="L656" t="s">
        <v>483</v>
      </c>
      <c r="M656" s="73"/>
      <c r="N656" s="73"/>
      <c r="O656" s="71"/>
    </row>
    <row r="657" spans="1:18" s="6" customFormat="1" x14ac:dyDescent="0.25">
      <c r="A657" s="80">
        <f>$A$2+176</f>
        <v>177</v>
      </c>
      <c r="B657" s="97">
        <v>27</v>
      </c>
      <c r="C657" s="94">
        <v>1</v>
      </c>
      <c r="D657" s="94">
        <v>1727</v>
      </c>
      <c r="E657" s="94">
        <f>F657-5</f>
        <v>383</v>
      </c>
      <c r="F657" s="91">
        <v>388</v>
      </c>
      <c r="G657" s="20" t="s">
        <v>654</v>
      </c>
      <c r="H657" s="20"/>
      <c r="J657" s="6" t="s">
        <v>654</v>
      </c>
      <c r="M657" s="72" t="s">
        <v>935</v>
      </c>
      <c r="N657" s="72" t="s">
        <v>934</v>
      </c>
      <c r="O657" s="70" t="s">
        <v>945</v>
      </c>
      <c r="P657" s="6" t="s">
        <v>936</v>
      </c>
      <c r="Q657" s="8"/>
      <c r="R657" s="8"/>
    </row>
    <row r="658" spans="1:18" x14ac:dyDescent="0.25">
      <c r="A658" s="87"/>
      <c r="B658" s="98"/>
      <c r="C658" s="95"/>
      <c r="D658" s="95"/>
      <c r="E658" s="95"/>
      <c r="F658" s="92"/>
      <c r="I658" t="s">
        <v>339</v>
      </c>
      <c r="J658" t="s">
        <v>937</v>
      </c>
      <c r="K658" t="s">
        <v>939</v>
      </c>
      <c r="M658" s="83"/>
      <c r="N658" s="83"/>
      <c r="O658" s="82"/>
      <c r="P658" t="s">
        <v>946</v>
      </c>
    </row>
    <row r="659" spans="1:18" x14ac:dyDescent="0.25">
      <c r="A659" s="87"/>
      <c r="B659" s="98"/>
      <c r="C659" s="95"/>
      <c r="D659" s="95"/>
      <c r="E659" s="95"/>
      <c r="F659" s="92"/>
      <c r="J659" t="s">
        <v>938</v>
      </c>
      <c r="K659" t="s">
        <v>939</v>
      </c>
      <c r="M659" s="83"/>
      <c r="N659" s="83"/>
      <c r="O659" s="82"/>
      <c r="P659" t="s">
        <v>946</v>
      </c>
    </row>
    <row r="660" spans="1:18" x14ac:dyDescent="0.25">
      <c r="A660" s="87"/>
      <c r="B660" s="98"/>
      <c r="C660" s="95"/>
      <c r="D660" s="95"/>
      <c r="E660" s="95"/>
      <c r="F660" s="92"/>
      <c r="J660" t="s">
        <v>658</v>
      </c>
      <c r="L660" t="s">
        <v>941</v>
      </c>
      <c r="M660" s="83"/>
      <c r="N660" s="83"/>
      <c r="O660" s="82"/>
      <c r="P660" t="s">
        <v>942</v>
      </c>
    </row>
    <row r="661" spans="1:18" x14ac:dyDescent="0.25">
      <c r="A661" s="87"/>
      <c r="B661" s="98"/>
      <c r="C661" s="95"/>
      <c r="D661" s="95"/>
      <c r="E661" s="95"/>
      <c r="F661" s="92"/>
      <c r="J661" t="s">
        <v>940</v>
      </c>
      <c r="L661" t="s">
        <v>941</v>
      </c>
      <c r="M661" s="83"/>
      <c r="N661" s="83"/>
      <c r="O661" s="82"/>
      <c r="P661" t="s">
        <v>943</v>
      </c>
    </row>
    <row r="662" spans="1:18" x14ac:dyDescent="0.25">
      <c r="A662" s="81"/>
      <c r="B662" s="99"/>
      <c r="C662" s="96"/>
      <c r="D662" s="96"/>
      <c r="E662" s="96"/>
      <c r="F662" s="93"/>
      <c r="J662" t="s">
        <v>794</v>
      </c>
      <c r="L662" t="s">
        <v>941</v>
      </c>
      <c r="M662" s="73"/>
      <c r="N662" s="73"/>
      <c r="O662" s="71"/>
      <c r="P662" t="s">
        <v>944</v>
      </c>
    </row>
    <row r="663" spans="1:18" s="6" customFormat="1" x14ac:dyDescent="0.25">
      <c r="A663" s="80">
        <f>$A$2+177</f>
        <v>178</v>
      </c>
      <c r="B663" s="97">
        <v>4</v>
      </c>
      <c r="C663" s="94">
        <v>2</v>
      </c>
      <c r="D663" s="94">
        <v>1727</v>
      </c>
      <c r="E663" s="94">
        <f>F663-5</f>
        <v>384</v>
      </c>
      <c r="F663" s="91">
        <v>389</v>
      </c>
      <c r="G663" s="20"/>
      <c r="H663" s="20"/>
      <c r="I663" s="6" t="s">
        <v>103</v>
      </c>
      <c r="J663" s="6" t="s">
        <v>947</v>
      </c>
      <c r="K663" s="6" t="s">
        <v>948</v>
      </c>
      <c r="L663" s="6" t="s">
        <v>949</v>
      </c>
      <c r="M663" s="72" t="s">
        <v>523</v>
      </c>
      <c r="N663" s="72" t="s">
        <v>821</v>
      </c>
      <c r="O663" s="70"/>
      <c r="Q663" s="8"/>
      <c r="R663" s="8"/>
    </row>
    <row r="664" spans="1:18" x14ac:dyDescent="0.25">
      <c r="A664" s="87"/>
      <c r="B664" s="98"/>
      <c r="C664" s="95"/>
      <c r="D664" s="95"/>
      <c r="E664" s="95"/>
      <c r="F664" s="92"/>
      <c r="I664" t="s">
        <v>27</v>
      </c>
      <c r="J664" t="s">
        <v>950</v>
      </c>
      <c r="K664" t="s">
        <v>951</v>
      </c>
      <c r="L664" t="s">
        <v>949</v>
      </c>
      <c r="M664" s="83"/>
      <c r="N664" s="83"/>
      <c r="O664" s="82"/>
    </row>
    <row r="665" spans="1:18" x14ac:dyDescent="0.25">
      <c r="A665" s="87"/>
      <c r="B665" s="98"/>
      <c r="C665" s="95"/>
      <c r="D665" s="95"/>
      <c r="E665" s="95"/>
      <c r="F665" s="92"/>
      <c r="I665" t="s">
        <v>27</v>
      </c>
      <c r="J665" t="s">
        <v>703</v>
      </c>
      <c r="K665" t="s">
        <v>952</v>
      </c>
      <c r="M665" s="83"/>
      <c r="N665" s="83"/>
      <c r="O665" s="82"/>
    </row>
    <row r="666" spans="1:18" x14ac:dyDescent="0.25">
      <c r="A666" s="87"/>
      <c r="B666" s="98"/>
      <c r="C666" s="95"/>
      <c r="D666" s="95"/>
      <c r="E666" s="95"/>
      <c r="F666" s="92"/>
      <c r="I666" t="s">
        <v>27</v>
      </c>
      <c r="J666" t="s">
        <v>596</v>
      </c>
      <c r="K666" t="s">
        <v>953</v>
      </c>
      <c r="M666" s="83"/>
      <c r="N666" s="83"/>
      <c r="O666" s="82"/>
    </row>
    <row r="667" spans="1:18" x14ac:dyDescent="0.25">
      <c r="A667" s="87"/>
      <c r="B667" s="98"/>
      <c r="C667" s="95"/>
      <c r="D667" s="95"/>
      <c r="E667" s="95"/>
      <c r="F667" s="92"/>
      <c r="I667" t="s">
        <v>27</v>
      </c>
      <c r="J667" t="s">
        <v>511</v>
      </c>
      <c r="K667" t="s">
        <v>954</v>
      </c>
      <c r="M667" s="83"/>
      <c r="N667" s="83"/>
      <c r="O667" s="82"/>
    </row>
    <row r="668" spans="1:18" x14ac:dyDescent="0.25">
      <c r="A668" s="87"/>
      <c r="B668" s="98"/>
      <c r="C668" s="95"/>
      <c r="D668" s="95"/>
      <c r="E668" s="95"/>
      <c r="F668" s="92"/>
      <c r="I668" t="s">
        <v>27</v>
      </c>
      <c r="J668" t="s">
        <v>513</v>
      </c>
      <c r="K668" t="s">
        <v>955</v>
      </c>
      <c r="M668" s="83"/>
      <c r="N668" s="83"/>
      <c r="O668" s="82"/>
    </row>
    <row r="669" spans="1:18" x14ac:dyDescent="0.25">
      <c r="A669" s="87"/>
      <c r="B669" s="98"/>
      <c r="C669" s="95"/>
      <c r="D669" s="95"/>
      <c r="E669" s="95"/>
      <c r="F669" s="92"/>
      <c r="I669" t="s">
        <v>27</v>
      </c>
      <c r="J669" t="s">
        <v>858</v>
      </c>
      <c r="K669" t="s">
        <v>956</v>
      </c>
      <c r="M669" s="83"/>
      <c r="N669" s="83"/>
      <c r="O669" s="82"/>
    </row>
    <row r="670" spans="1:18" x14ac:dyDescent="0.25">
      <c r="A670" s="87"/>
      <c r="B670" s="98"/>
      <c r="C670" s="95"/>
      <c r="D670" s="95"/>
      <c r="E670" s="95"/>
      <c r="F670" s="92"/>
      <c r="I670" t="s">
        <v>27</v>
      </c>
      <c r="J670" t="s">
        <v>249</v>
      </c>
      <c r="K670" t="s">
        <v>957</v>
      </c>
      <c r="M670" s="83"/>
      <c r="N670" s="83"/>
      <c r="O670" s="82"/>
    </row>
    <row r="671" spans="1:18" x14ac:dyDescent="0.25">
      <c r="A671" s="87"/>
      <c r="B671" s="98"/>
      <c r="C671" s="95"/>
      <c r="D671" s="95"/>
      <c r="E671" s="95"/>
      <c r="F671" s="92"/>
      <c r="I671" t="s">
        <v>27</v>
      </c>
      <c r="J671" t="s">
        <v>331</v>
      </c>
      <c r="K671" t="s">
        <v>958</v>
      </c>
      <c r="M671" s="83"/>
      <c r="N671" s="83"/>
      <c r="O671" s="82"/>
    </row>
    <row r="672" spans="1:18" x14ac:dyDescent="0.25">
      <c r="A672" s="87"/>
      <c r="B672" s="98"/>
      <c r="C672" s="95"/>
      <c r="D672" s="95"/>
      <c r="E672" s="95"/>
      <c r="F672" s="92"/>
      <c r="I672" t="s">
        <v>27</v>
      </c>
      <c r="J672" t="s">
        <v>959</v>
      </c>
      <c r="L672" t="s">
        <v>949</v>
      </c>
      <c r="M672" s="83"/>
      <c r="N672" s="83"/>
      <c r="O672" s="82"/>
    </row>
    <row r="673" spans="1:18" x14ac:dyDescent="0.25">
      <c r="A673" s="87"/>
      <c r="B673" s="98"/>
      <c r="C673" s="95"/>
      <c r="D673" s="95"/>
      <c r="E673" s="95"/>
      <c r="F673" s="92"/>
      <c r="I673" t="s">
        <v>27</v>
      </c>
      <c r="J673" t="s">
        <v>857</v>
      </c>
      <c r="K673" t="s">
        <v>828</v>
      </c>
      <c r="L673" t="s">
        <v>949</v>
      </c>
      <c r="M673" s="83"/>
      <c r="N673" s="83"/>
      <c r="O673" s="82"/>
    </row>
    <row r="674" spans="1:18" x14ac:dyDescent="0.25">
      <c r="A674" s="81"/>
      <c r="B674" s="99"/>
      <c r="C674" s="96"/>
      <c r="D674" s="96"/>
      <c r="E674" s="96"/>
      <c r="F674" s="93"/>
      <c r="I674" t="s">
        <v>27</v>
      </c>
      <c r="J674" t="s">
        <v>836</v>
      </c>
      <c r="K674" t="s">
        <v>960</v>
      </c>
      <c r="M674" s="73"/>
      <c r="N674" s="73"/>
      <c r="O674" s="71"/>
    </row>
    <row r="675" spans="1:18" s="6" customFormat="1" x14ac:dyDescent="0.25">
      <c r="A675" s="80">
        <f>$A$2+178</f>
        <v>179</v>
      </c>
      <c r="B675" s="97">
        <v>4</v>
      </c>
      <c r="C675" s="94">
        <v>2</v>
      </c>
      <c r="D675" s="94">
        <v>1727</v>
      </c>
      <c r="E675" s="94">
        <f>F675-5</f>
        <v>385</v>
      </c>
      <c r="F675" s="91">
        <v>390</v>
      </c>
      <c r="G675" s="20" t="s">
        <v>911</v>
      </c>
      <c r="H675" s="20" t="s">
        <v>961</v>
      </c>
      <c r="I675" s="6" t="s">
        <v>27</v>
      </c>
      <c r="J675" s="6" t="s">
        <v>961</v>
      </c>
      <c r="M675" s="72" t="s">
        <v>13</v>
      </c>
      <c r="N675" s="72" t="s">
        <v>20</v>
      </c>
      <c r="O675" s="70" t="s">
        <v>972</v>
      </c>
      <c r="P675" s="6" t="s">
        <v>971</v>
      </c>
      <c r="Q675" s="8"/>
      <c r="R675" s="8"/>
    </row>
    <row r="676" spans="1:18" x14ac:dyDescent="0.25">
      <c r="A676" s="87"/>
      <c r="B676" s="98"/>
      <c r="C676" s="95"/>
      <c r="D676" s="95"/>
      <c r="E676" s="95"/>
      <c r="F676" s="92"/>
      <c r="J676" t="s">
        <v>133</v>
      </c>
      <c r="M676" s="83"/>
      <c r="N676" s="83"/>
      <c r="O676" s="82"/>
      <c r="P676" t="s">
        <v>964</v>
      </c>
    </row>
    <row r="677" spans="1:18" x14ac:dyDescent="0.25">
      <c r="A677" s="87"/>
      <c r="B677" s="98"/>
      <c r="C677" s="95"/>
      <c r="D677" s="95"/>
      <c r="E677" s="95"/>
      <c r="F677" s="92"/>
      <c r="J677" t="s">
        <v>458</v>
      </c>
      <c r="K677" t="s">
        <v>708</v>
      </c>
      <c r="M677" s="83"/>
      <c r="N677" s="83"/>
      <c r="O677" s="82"/>
      <c r="P677" t="s">
        <v>965</v>
      </c>
    </row>
    <row r="678" spans="1:18" x14ac:dyDescent="0.25">
      <c r="A678" s="87"/>
      <c r="B678" s="98"/>
      <c r="C678" s="95"/>
      <c r="D678" s="95"/>
      <c r="E678" s="95"/>
      <c r="F678" s="92"/>
      <c r="J678" t="s">
        <v>458</v>
      </c>
      <c r="K678" t="s">
        <v>704</v>
      </c>
      <c r="M678" s="83"/>
      <c r="N678" s="83"/>
      <c r="O678" s="82"/>
      <c r="P678" t="s">
        <v>967</v>
      </c>
    </row>
    <row r="679" spans="1:18" x14ac:dyDescent="0.25">
      <c r="A679" s="87"/>
      <c r="B679" s="98"/>
      <c r="C679" s="95"/>
      <c r="D679" s="95"/>
      <c r="E679" s="95"/>
      <c r="F679" s="92"/>
      <c r="J679" t="s">
        <v>458</v>
      </c>
      <c r="K679" t="s">
        <v>866</v>
      </c>
      <c r="M679" s="83"/>
      <c r="N679" s="83"/>
      <c r="O679" s="82"/>
    </row>
    <row r="680" spans="1:18" x14ac:dyDescent="0.25">
      <c r="A680" s="87"/>
      <c r="B680" s="98"/>
      <c r="C680" s="95"/>
      <c r="D680" s="95"/>
      <c r="E680" s="95"/>
      <c r="F680" s="92"/>
      <c r="J680" t="s">
        <v>458</v>
      </c>
      <c r="K680" t="s">
        <v>735</v>
      </c>
      <c r="M680" s="83"/>
      <c r="N680" s="83"/>
      <c r="O680" s="82"/>
      <c r="P680" t="s">
        <v>966</v>
      </c>
    </row>
    <row r="681" spans="1:18" x14ac:dyDescent="0.25">
      <c r="A681" s="87"/>
      <c r="B681" s="98"/>
      <c r="C681" s="95"/>
      <c r="D681" s="95"/>
      <c r="E681" s="95"/>
      <c r="F681" s="92"/>
      <c r="J681" t="s">
        <v>930</v>
      </c>
      <c r="M681" s="83"/>
      <c r="N681" s="83"/>
      <c r="O681" s="82"/>
      <c r="P681" t="s">
        <v>968</v>
      </c>
    </row>
    <row r="682" spans="1:18" x14ac:dyDescent="0.25">
      <c r="A682" s="87"/>
      <c r="B682" s="98"/>
      <c r="C682" s="95"/>
      <c r="D682" s="95"/>
      <c r="E682" s="95"/>
      <c r="F682" s="92"/>
      <c r="J682" t="s">
        <v>646</v>
      </c>
      <c r="K682" t="s">
        <v>962</v>
      </c>
      <c r="M682" s="83"/>
      <c r="N682" s="83"/>
      <c r="O682" s="82"/>
      <c r="P682" t="s">
        <v>969</v>
      </c>
    </row>
    <row r="683" spans="1:18" x14ac:dyDescent="0.25">
      <c r="A683" s="87"/>
      <c r="B683" s="98"/>
      <c r="C683" s="95"/>
      <c r="D683" s="95"/>
      <c r="E683" s="95"/>
      <c r="F683" s="92"/>
      <c r="J683" t="s">
        <v>32</v>
      </c>
      <c r="M683" s="83"/>
      <c r="N683" s="83"/>
      <c r="O683" s="82"/>
    </row>
    <row r="684" spans="1:18" x14ac:dyDescent="0.25">
      <c r="A684" s="81"/>
      <c r="B684" s="99"/>
      <c r="C684" s="96"/>
      <c r="D684" s="96"/>
      <c r="E684" s="96"/>
      <c r="F684" s="93"/>
      <c r="J684" t="s">
        <v>458</v>
      </c>
      <c r="K684" t="s">
        <v>963</v>
      </c>
      <c r="M684" s="73"/>
      <c r="N684" s="73"/>
      <c r="O684" s="71"/>
      <c r="P684" t="s">
        <v>970</v>
      </c>
    </row>
    <row r="685" spans="1:18" s="6" customFormat="1" x14ac:dyDescent="0.25">
      <c r="A685" s="80">
        <f>$A$2+179</f>
        <v>180</v>
      </c>
      <c r="B685" s="97">
        <v>21</v>
      </c>
      <c r="C685" s="94">
        <v>2</v>
      </c>
      <c r="D685" s="94">
        <v>1727</v>
      </c>
      <c r="E685" s="94">
        <f>F685-5</f>
        <v>386</v>
      </c>
      <c r="F685" s="91">
        <v>391</v>
      </c>
      <c r="G685" s="20" t="s">
        <v>342</v>
      </c>
      <c r="H685" s="20" t="s">
        <v>973</v>
      </c>
      <c r="I685" s="6" t="s">
        <v>27</v>
      </c>
      <c r="J685" s="6" t="s">
        <v>342</v>
      </c>
      <c r="M685" s="72" t="s">
        <v>13</v>
      </c>
      <c r="N685" s="72" t="s">
        <v>20</v>
      </c>
      <c r="O685" s="70" t="s">
        <v>975</v>
      </c>
      <c r="Q685" s="8"/>
      <c r="R685" s="8"/>
    </row>
    <row r="686" spans="1:18" x14ac:dyDescent="0.25">
      <c r="A686" s="87"/>
      <c r="B686" s="98"/>
      <c r="C686" s="95"/>
      <c r="D686" s="95"/>
      <c r="E686" s="95"/>
      <c r="F686" s="92"/>
      <c r="J686" t="s">
        <v>973</v>
      </c>
      <c r="L686" t="s">
        <v>974</v>
      </c>
      <c r="M686" s="83"/>
      <c r="N686" s="83"/>
      <c r="O686" s="82"/>
      <c r="P686" t="s">
        <v>976</v>
      </c>
    </row>
    <row r="687" spans="1:18" x14ac:dyDescent="0.25">
      <c r="A687" s="81"/>
      <c r="B687" s="99"/>
      <c r="C687" s="96"/>
      <c r="D687" s="96"/>
      <c r="E687" s="96"/>
      <c r="F687" s="93"/>
      <c r="J687" t="s">
        <v>930</v>
      </c>
      <c r="M687" s="73"/>
      <c r="N687" s="73"/>
      <c r="O687" s="71"/>
    </row>
    <row r="688" spans="1:18" s="6" customFormat="1" x14ac:dyDescent="0.25">
      <c r="A688" s="80">
        <f>$A$2+180</f>
        <v>181</v>
      </c>
      <c r="B688" s="97">
        <v>7</v>
      </c>
      <c r="C688" s="94">
        <v>3</v>
      </c>
      <c r="D688" s="94">
        <v>1727</v>
      </c>
      <c r="E688" s="94">
        <f>F688-5</f>
        <v>387</v>
      </c>
      <c r="F688" s="91">
        <v>392</v>
      </c>
      <c r="G688" s="20" t="s">
        <v>978</v>
      </c>
      <c r="H688" s="20" t="s">
        <v>121</v>
      </c>
      <c r="I688" s="6" t="s">
        <v>339</v>
      </c>
      <c r="J688" s="6" t="s">
        <v>978</v>
      </c>
      <c r="M688" s="72" t="s">
        <v>977</v>
      </c>
      <c r="N688" s="72" t="s">
        <v>984</v>
      </c>
      <c r="O688" s="70" t="s">
        <v>980</v>
      </c>
      <c r="P688" s="6" t="s">
        <v>979</v>
      </c>
      <c r="Q688" s="8"/>
      <c r="R688" s="8"/>
    </row>
    <row r="689" spans="1:18" x14ac:dyDescent="0.25">
      <c r="A689" s="81"/>
      <c r="B689" s="99"/>
      <c r="C689" s="96"/>
      <c r="D689" s="96"/>
      <c r="E689" s="96"/>
      <c r="F689" s="93"/>
      <c r="I689" t="s">
        <v>103</v>
      </c>
      <c r="J689" t="s">
        <v>121</v>
      </c>
      <c r="M689" s="73"/>
      <c r="N689" s="73"/>
      <c r="O689" s="71"/>
    </row>
    <row r="690" spans="1:18" s="6" customFormat="1" ht="15.75" customHeight="1" x14ac:dyDescent="0.25">
      <c r="A690" s="25">
        <f>$A$2+181</f>
        <v>182</v>
      </c>
      <c r="B690" s="4">
        <v>23</v>
      </c>
      <c r="C690" s="4">
        <v>3</v>
      </c>
      <c r="D690" s="4">
        <v>1727</v>
      </c>
      <c r="E690" s="4">
        <f>F690-5</f>
        <v>387</v>
      </c>
      <c r="F690" s="3">
        <v>392</v>
      </c>
      <c r="G690" s="20"/>
      <c r="H690" s="20"/>
      <c r="I690" s="6" t="s">
        <v>27</v>
      </c>
      <c r="J690" s="6" t="s">
        <v>24</v>
      </c>
      <c r="L690" s="6" t="s">
        <v>981</v>
      </c>
      <c r="M690" s="27" t="s">
        <v>594</v>
      </c>
      <c r="N690" s="27" t="s">
        <v>600</v>
      </c>
      <c r="O690" s="35" t="s">
        <v>983</v>
      </c>
      <c r="P690" s="6" t="s">
        <v>982</v>
      </c>
      <c r="Q690" s="8"/>
      <c r="R690" s="8"/>
    </row>
    <row r="691" spans="1:18" s="6" customFormat="1" x14ac:dyDescent="0.25">
      <c r="A691" s="80">
        <f>$A$2+182</f>
        <v>183</v>
      </c>
      <c r="B691" s="97">
        <v>28</v>
      </c>
      <c r="C691" s="94">
        <v>5</v>
      </c>
      <c r="D691" s="94">
        <v>1727</v>
      </c>
      <c r="E691" s="94">
        <f>F691-5</f>
        <v>388</v>
      </c>
      <c r="F691" s="91">
        <v>393</v>
      </c>
      <c r="G691" s="20" t="s">
        <v>985</v>
      </c>
      <c r="H691" s="20" t="s">
        <v>986</v>
      </c>
      <c r="I691" s="6" t="s">
        <v>31</v>
      </c>
      <c r="J691" s="6" t="s">
        <v>985</v>
      </c>
      <c r="M691" s="72" t="s">
        <v>988</v>
      </c>
      <c r="N691" s="72" t="s">
        <v>984</v>
      </c>
      <c r="O691" s="70" t="s">
        <v>987</v>
      </c>
      <c r="Q691" s="8"/>
      <c r="R691" s="8"/>
    </row>
    <row r="692" spans="1:18" x14ac:dyDescent="0.25">
      <c r="A692" s="81"/>
      <c r="B692" s="99"/>
      <c r="C692" s="96"/>
      <c r="D692" s="96"/>
      <c r="E692" s="96"/>
      <c r="F692" s="93"/>
      <c r="I692" t="s">
        <v>27</v>
      </c>
      <c r="J692" t="s">
        <v>986</v>
      </c>
      <c r="M692" s="73"/>
      <c r="N692" s="73"/>
      <c r="O692" s="71"/>
    </row>
    <row r="693" spans="1:18" s="6" customFormat="1" x14ac:dyDescent="0.25">
      <c r="A693" s="80">
        <f>$A$2+183</f>
        <v>184</v>
      </c>
      <c r="B693" s="97">
        <v>10</v>
      </c>
      <c r="C693" s="94">
        <v>6</v>
      </c>
      <c r="D693" s="94">
        <v>1727</v>
      </c>
      <c r="E693" s="94">
        <f>F693-5</f>
        <v>388</v>
      </c>
      <c r="F693" s="91">
        <v>393</v>
      </c>
      <c r="G693" s="20" t="s">
        <v>915</v>
      </c>
      <c r="H693" s="20" t="s">
        <v>989</v>
      </c>
      <c r="I693" s="6" t="s">
        <v>31</v>
      </c>
      <c r="J693" s="6" t="s">
        <v>989</v>
      </c>
      <c r="M693" s="72" t="s">
        <v>855</v>
      </c>
      <c r="N693" s="72" t="s">
        <v>20</v>
      </c>
      <c r="O693" s="70" t="s">
        <v>992</v>
      </c>
      <c r="P693" s="6" t="s">
        <v>993</v>
      </c>
      <c r="Q693" s="8"/>
      <c r="R693" s="8"/>
    </row>
    <row r="694" spans="1:18" x14ac:dyDescent="0.25">
      <c r="A694" s="81"/>
      <c r="B694" s="99"/>
      <c r="C694" s="96"/>
      <c r="D694" s="96"/>
      <c r="E694" s="96"/>
      <c r="F694" s="93"/>
      <c r="J694" t="s">
        <v>990</v>
      </c>
      <c r="K694" t="s">
        <v>247</v>
      </c>
      <c r="L694" t="s">
        <v>991</v>
      </c>
      <c r="M694" s="73"/>
      <c r="N694" s="73"/>
      <c r="O694" s="71"/>
    </row>
    <row r="695" spans="1:18" s="6" customFormat="1" x14ac:dyDescent="0.25">
      <c r="A695" s="80">
        <f>$A$2+184</f>
        <v>185</v>
      </c>
      <c r="B695" s="97">
        <v>15</v>
      </c>
      <c r="C695" s="94">
        <v>7</v>
      </c>
      <c r="D695" s="94">
        <v>1727</v>
      </c>
      <c r="E695" s="94">
        <f>F695-5</f>
        <v>389</v>
      </c>
      <c r="F695" s="91">
        <v>394</v>
      </c>
      <c r="G695" s="20" t="s">
        <v>994</v>
      </c>
      <c r="H695" s="20" t="s">
        <v>996</v>
      </c>
      <c r="J695" s="6" t="s">
        <v>994</v>
      </c>
      <c r="K695" s="6" t="s">
        <v>995</v>
      </c>
      <c r="L695" s="6" t="s">
        <v>1002</v>
      </c>
      <c r="M695" s="72" t="s">
        <v>244</v>
      </c>
      <c r="N695" s="72" t="s">
        <v>20</v>
      </c>
      <c r="O695" s="70" t="s">
        <v>1003</v>
      </c>
      <c r="P695" s="6" t="s">
        <v>1000</v>
      </c>
      <c r="Q695" s="8"/>
      <c r="R695" s="8"/>
    </row>
    <row r="696" spans="1:18" x14ac:dyDescent="0.25">
      <c r="A696" s="87"/>
      <c r="B696" s="98"/>
      <c r="C696" s="95"/>
      <c r="D696" s="95"/>
      <c r="E696" s="95"/>
      <c r="F696" s="92"/>
      <c r="I696" t="s">
        <v>27</v>
      </c>
      <c r="J696" t="s">
        <v>996</v>
      </c>
      <c r="M696" s="83"/>
      <c r="N696" s="83"/>
      <c r="O696" s="82"/>
      <c r="P696" t="s">
        <v>1001</v>
      </c>
    </row>
    <row r="697" spans="1:18" x14ac:dyDescent="0.25">
      <c r="A697" s="81"/>
      <c r="B697" s="99"/>
      <c r="C697" s="96"/>
      <c r="D697" s="96"/>
      <c r="E697" s="96"/>
      <c r="F697" s="93"/>
      <c r="J697" t="s">
        <v>997</v>
      </c>
      <c r="K697" t="s">
        <v>998</v>
      </c>
      <c r="M697" s="73"/>
      <c r="N697" s="73"/>
      <c r="O697" s="71"/>
      <c r="P697" t="s">
        <v>999</v>
      </c>
    </row>
    <row r="698" spans="1:18" s="6" customFormat="1" x14ac:dyDescent="0.25">
      <c r="A698" s="80">
        <f>$A$2+185</f>
        <v>186</v>
      </c>
      <c r="B698" s="97">
        <v>19</v>
      </c>
      <c r="C698" s="94">
        <v>7</v>
      </c>
      <c r="D698" s="94">
        <v>1727</v>
      </c>
      <c r="E698" s="94">
        <f>F698-5</f>
        <v>390</v>
      </c>
      <c r="F698" s="91">
        <v>395</v>
      </c>
      <c r="G698" s="20"/>
      <c r="H698" s="20"/>
      <c r="J698" s="6" t="s">
        <v>838</v>
      </c>
      <c r="M698" s="72" t="s">
        <v>1008</v>
      </c>
      <c r="N698" s="72" t="s">
        <v>53</v>
      </c>
      <c r="O698" s="70" t="s">
        <v>1009</v>
      </c>
      <c r="P698" s="6" t="s">
        <v>1007</v>
      </c>
      <c r="Q698" s="8"/>
      <c r="R698" s="8"/>
    </row>
    <row r="699" spans="1:18" x14ac:dyDescent="0.25">
      <c r="A699" s="87"/>
      <c r="B699" s="98"/>
      <c r="C699" s="95"/>
      <c r="D699" s="95"/>
      <c r="E699" s="95"/>
      <c r="F699" s="92"/>
      <c r="J699" t="s">
        <v>850</v>
      </c>
      <c r="L699" t="s">
        <v>389</v>
      </c>
      <c r="M699" s="83"/>
      <c r="N699" s="83"/>
      <c r="O699" s="82"/>
    </row>
    <row r="700" spans="1:18" x14ac:dyDescent="0.25">
      <c r="A700" s="87"/>
      <c r="B700" s="98"/>
      <c r="C700" s="95"/>
      <c r="D700" s="95"/>
      <c r="E700" s="95"/>
      <c r="F700" s="92"/>
      <c r="J700" t="s">
        <v>850</v>
      </c>
      <c r="L700" t="s">
        <v>1004</v>
      </c>
      <c r="M700" s="83"/>
      <c r="N700" s="83"/>
      <c r="O700" s="82"/>
    </row>
    <row r="701" spans="1:18" x14ac:dyDescent="0.25">
      <c r="A701" s="81"/>
      <c r="B701" s="99"/>
      <c r="C701" s="96"/>
      <c r="D701" s="96"/>
      <c r="E701" s="96"/>
      <c r="F701" s="93"/>
      <c r="J701" t="s">
        <v>1005</v>
      </c>
      <c r="L701" t="s">
        <v>1010</v>
      </c>
      <c r="M701" s="73"/>
      <c r="N701" s="73"/>
      <c r="O701" s="71"/>
      <c r="P701" t="s">
        <v>1006</v>
      </c>
    </row>
    <row r="702" spans="1:18" s="6" customFormat="1" ht="16.5" customHeight="1" x14ac:dyDescent="0.25">
      <c r="A702" s="25">
        <f>$A$2+186</f>
        <v>187</v>
      </c>
      <c r="B702" s="4">
        <v>19</v>
      </c>
      <c r="C702" s="4">
        <v>7</v>
      </c>
      <c r="D702" s="4">
        <v>1727</v>
      </c>
      <c r="E702" s="4">
        <f>F702-5</f>
        <v>390</v>
      </c>
      <c r="F702" s="3">
        <v>395</v>
      </c>
      <c r="G702" s="20"/>
      <c r="H702" s="20"/>
      <c r="J702" s="6" t="s">
        <v>838</v>
      </c>
      <c r="M702" s="27" t="s">
        <v>809</v>
      </c>
      <c r="N702" s="27" t="s">
        <v>266</v>
      </c>
      <c r="O702" s="35"/>
      <c r="Q702" s="8"/>
      <c r="R702" s="8"/>
    </row>
    <row r="703" spans="1:18" s="6" customFormat="1" x14ac:dyDescent="0.25">
      <c r="A703" s="80">
        <f>$A$2+187</f>
        <v>188</v>
      </c>
      <c r="B703" s="97">
        <v>22</v>
      </c>
      <c r="C703" s="94">
        <v>7</v>
      </c>
      <c r="D703" s="94">
        <v>1727</v>
      </c>
      <c r="E703" s="94">
        <f>F703-5</f>
        <v>390</v>
      </c>
      <c r="F703" s="91">
        <v>395</v>
      </c>
      <c r="G703" s="20" t="s">
        <v>1012</v>
      </c>
      <c r="H703" s="20" t="s">
        <v>601</v>
      </c>
      <c r="I703" s="6" t="s">
        <v>31</v>
      </c>
      <c r="J703" s="6" t="s">
        <v>1012</v>
      </c>
      <c r="M703" s="72" t="s">
        <v>159</v>
      </c>
      <c r="N703" s="72" t="s">
        <v>1011</v>
      </c>
      <c r="O703" s="70" t="s">
        <v>1018</v>
      </c>
      <c r="P703" s="6" t="s">
        <v>1016</v>
      </c>
      <c r="Q703" s="8"/>
      <c r="R703" s="8"/>
    </row>
    <row r="704" spans="1:18" x14ac:dyDescent="0.25">
      <c r="A704" s="87"/>
      <c r="B704" s="98"/>
      <c r="C704" s="95"/>
      <c r="D704" s="95"/>
      <c r="E704" s="95"/>
      <c r="F704" s="92"/>
      <c r="J704" t="s">
        <v>601</v>
      </c>
      <c r="L704" t="s">
        <v>1013</v>
      </c>
      <c r="M704" s="83"/>
      <c r="N704" s="83"/>
      <c r="O704" s="82"/>
      <c r="P704" t="s">
        <v>1017</v>
      </c>
    </row>
    <row r="705" spans="1:18" x14ac:dyDescent="0.25">
      <c r="A705" s="81"/>
      <c r="B705" s="99"/>
      <c r="C705" s="96"/>
      <c r="D705" s="96"/>
      <c r="E705" s="96"/>
      <c r="F705" s="93"/>
      <c r="J705" t="s">
        <v>59</v>
      </c>
      <c r="L705" t="s">
        <v>1014</v>
      </c>
      <c r="M705" s="73"/>
      <c r="N705" s="73"/>
      <c r="O705" s="71"/>
      <c r="P705" t="s">
        <v>1015</v>
      </c>
    </row>
    <row r="706" spans="1:18" s="6" customFormat="1" x14ac:dyDescent="0.25">
      <c r="A706" s="80">
        <f>$A$2+188</f>
        <v>189</v>
      </c>
      <c r="B706" s="97">
        <v>23</v>
      </c>
      <c r="C706" s="94">
        <v>7</v>
      </c>
      <c r="D706" s="94">
        <v>1727</v>
      </c>
      <c r="E706" s="94">
        <f>F706-5</f>
        <v>391</v>
      </c>
      <c r="F706" s="91">
        <v>396</v>
      </c>
      <c r="G706" s="20" t="s">
        <v>73</v>
      </c>
      <c r="H706" s="20" t="s">
        <v>1019</v>
      </c>
      <c r="I706" s="6" t="s">
        <v>27</v>
      </c>
      <c r="J706" s="6" t="s">
        <v>73</v>
      </c>
      <c r="M706" s="72" t="s">
        <v>1021</v>
      </c>
      <c r="N706" s="72" t="s">
        <v>177</v>
      </c>
      <c r="O706" s="70" t="s">
        <v>1023</v>
      </c>
      <c r="Q706" s="8"/>
      <c r="R706" s="8"/>
    </row>
    <row r="707" spans="1:18" x14ac:dyDescent="0.25">
      <c r="A707" s="87"/>
      <c r="B707" s="98"/>
      <c r="C707" s="95"/>
      <c r="D707" s="95"/>
      <c r="E707" s="95"/>
      <c r="F707" s="92"/>
      <c r="I707" t="s">
        <v>27</v>
      </c>
      <c r="J707" t="s">
        <v>1019</v>
      </c>
      <c r="M707" s="83"/>
      <c r="N707" s="83"/>
      <c r="O707" s="82"/>
      <c r="P707" t="s">
        <v>1022</v>
      </c>
    </row>
    <row r="708" spans="1:18" x14ac:dyDescent="0.25">
      <c r="A708" s="81"/>
      <c r="B708" s="99"/>
      <c r="C708" s="96"/>
      <c r="D708" s="96"/>
      <c r="E708" s="96"/>
      <c r="F708" s="93"/>
      <c r="J708" t="s">
        <v>458</v>
      </c>
      <c r="K708" t="s">
        <v>1020</v>
      </c>
      <c r="M708" s="73"/>
      <c r="N708" s="73"/>
      <c r="O708" s="71"/>
    </row>
    <row r="709" spans="1:18" s="6" customFormat="1" x14ac:dyDescent="0.25">
      <c r="A709" s="80">
        <f>$A$2+189</f>
        <v>190</v>
      </c>
      <c r="B709" s="97">
        <v>23</v>
      </c>
      <c r="C709" s="94">
        <v>7</v>
      </c>
      <c r="D709" s="94">
        <v>1727</v>
      </c>
      <c r="E709" s="94">
        <f>F709-5</f>
        <v>391</v>
      </c>
      <c r="F709" s="91">
        <v>396</v>
      </c>
      <c r="G709" s="20" t="s">
        <v>773</v>
      </c>
      <c r="H709" s="20" t="s">
        <v>1024</v>
      </c>
      <c r="I709" s="6" t="s">
        <v>103</v>
      </c>
      <c r="J709" s="6" t="s">
        <v>773</v>
      </c>
      <c r="M709" s="72" t="s">
        <v>1032</v>
      </c>
      <c r="N709" s="72" t="s">
        <v>9</v>
      </c>
      <c r="O709" s="70" t="s">
        <v>1033</v>
      </c>
      <c r="P709" s="6" t="s">
        <v>1028</v>
      </c>
      <c r="Q709" s="8"/>
      <c r="R709" s="8"/>
    </row>
    <row r="710" spans="1:18" x14ac:dyDescent="0.25">
      <c r="A710" s="87"/>
      <c r="B710" s="98"/>
      <c r="C710" s="95"/>
      <c r="D710" s="95"/>
      <c r="E710" s="95"/>
      <c r="F710" s="92"/>
      <c r="I710" t="s">
        <v>27</v>
      </c>
      <c r="J710" t="s">
        <v>1024</v>
      </c>
      <c r="M710" s="83"/>
      <c r="N710" s="83"/>
      <c r="O710" s="82"/>
      <c r="P710" t="s">
        <v>1029</v>
      </c>
    </row>
    <row r="711" spans="1:18" x14ac:dyDescent="0.25">
      <c r="A711" s="87"/>
      <c r="B711" s="98"/>
      <c r="C711" s="95"/>
      <c r="D711" s="95"/>
      <c r="E711" s="95"/>
      <c r="F711" s="92"/>
      <c r="I711" t="s">
        <v>31</v>
      </c>
      <c r="J711" t="s">
        <v>1025</v>
      </c>
      <c r="M711" s="83"/>
      <c r="N711" s="83"/>
      <c r="O711" s="82"/>
    </row>
    <row r="712" spans="1:18" x14ac:dyDescent="0.25">
      <c r="A712" s="87"/>
      <c r="B712" s="98"/>
      <c r="C712" s="95"/>
      <c r="D712" s="95"/>
      <c r="E712" s="95"/>
      <c r="F712" s="92"/>
      <c r="J712" t="s">
        <v>458</v>
      </c>
      <c r="K712" t="s">
        <v>1026</v>
      </c>
      <c r="M712" s="83"/>
      <c r="N712" s="83"/>
      <c r="O712" s="82"/>
      <c r="P712" t="s">
        <v>1027</v>
      </c>
    </row>
    <row r="713" spans="1:18" x14ac:dyDescent="0.25">
      <c r="A713" s="81"/>
      <c r="B713" s="99"/>
      <c r="C713" s="96"/>
      <c r="D713" s="96"/>
      <c r="E713" s="96"/>
      <c r="F713" s="93"/>
      <c r="J713" t="s">
        <v>1030</v>
      </c>
      <c r="L713" t="s">
        <v>389</v>
      </c>
      <c r="M713" s="73"/>
      <c r="N713" s="73"/>
      <c r="O713" s="71"/>
      <c r="P713" t="s">
        <v>1031</v>
      </c>
    </row>
    <row r="714" spans="1:18" s="6" customFormat="1" x14ac:dyDescent="0.25">
      <c r="A714" s="80">
        <f>$A$2+190</f>
        <v>191</v>
      </c>
      <c r="B714" s="97">
        <v>23</v>
      </c>
      <c r="C714" s="94">
        <v>7</v>
      </c>
      <c r="D714" s="94">
        <v>1727</v>
      </c>
      <c r="E714" s="94">
        <f>F714-5</f>
        <v>391</v>
      </c>
      <c r="F714" s="91">
        <v>396</v>
      </c>
      <c r="G714" s="20" t="s">
        <v>1034</v>
      </c>
      <c r="H714" s="20" t="s">
        <v>1035</v>
      </c>
      <c r="I714" s="6" t="s">
        <v>31</v>
      </c>
      <c r="J714" s="6" t="s">
        <v>1034</v>
      </c>
      <c r="M714" s="72" t="s">
        <v>244</v>
      </c>
      <c r="N714" s="72" t="s">
        <v>9</v>
      </c>
      <c r="O714" s="70" t="s">
        <v>1037</v>
      </c>
      <c r="Q714" s="8"/>
      <c r="R714" s="8"/>
    </row>
    <row r="715" spans="1:18" x14ac:dyDescent="0.25">
      <c r="A715" s="87"/>
      <c r="B715" s="98"/>
      <c r="C715" s="95"/>
      <c r="D715" s="95"/>
      <c r="E715" s="95"/>
      <c r="F715" s="92"/>
      <c r="I715" t="s">
        <v>27</v>
      </c>
      <c r="J715" t="s">
        <v>1035</v>
      </c>
      <c r="M715" s="83"/>
      <c r="N715" s="83"/>
      <c r="O715" s="82"/>
    </row>
    <row r="716" spans="1:18" x14ac:dyDescent="0.25">
      <c r="A716" s="87"/>
      <c r="B716" s="98"/>
      <c r="C716" s="95"/>
      <c r="D716" s="95"/>
      <c r="E716" s="95"/>
      <c r="F716" s="92"/>
      <c r="J716" t="s">
        <v>1036</v>
      </c>
      <c r="M716" s="83"/>
      <c r="N716" s="83"/>
      <c r="O716" s="82"/>
    </row>
    <row r="717" spans="1:18" x14ac:dyDescent="0.25">
      <c r="A717" s="81"/>
      <c r="B717" s="99"/>
      <c r="C717" s="96"/>
      <c r="D717" s="96"/>
      <c r="E717" s="96"/>
      <c r="F717" s="93"/>
      <c r="J717" t="s">
        <v>458</v>
      </c>
      <c r="L717" t="s">
        <v>1038</v>
      </c>
      <c r="M717" s="73"/>
      <c r="N717" s="73"/>
      <c r="O717" s="71"/>
    </row>
    <row r="718" spans="1:18" s="6" customFormat="1" x14ac:dyDescent="0.25">
      <c r="A718" s="80">
        <f>$A$2+191</f>
        <v>192</v>
      </c>
      <c r="B718" s="97">
        <v>28</v>
      </c>
      <c r="C718" s="94">
        <v>7</v>
      </c>
      <c r="D718" s="94">
        <v>1727</v>
      </c>
      <c r="E718" s="94">
        <f>F718-5</f>
        <v>392</v>
      </c>
      <c r="F718" s="91">
        <v>397</v>
      </c>
      <c r="G718" s="20" t="s">
        <v>1039</v>
      </c>
      <c r="H718" s="20" t="s">
        <v>1042</v>
      </c>
      <c r="J718" s="6" t="s">
        <v>1039</v>
      </c>
      <c r="M718" s="72" t="s">
        <v>1059</v>
      </c>
      <c r="N718" s="72" t="s">
        <v>20</v>
      </c>
      <c r="O718" s="70" t="s">
        <v>1160</v>
      </c>
      <c r="P718" s="6" t="s">
        <v>1053</v>
      </c>
      <c r="Q718" s="103" t="b">
        <v>1</v>
      </c>
      <c r="R718" s="8"/>
    </row>
    <row r="719" spans="1:18" x14ac:dyDescent="0.25">
      <c r="A719" s="87"/>
      <c r="B719" s="98"/>
      <c r="C719" s="95"/>
      <c r="D719" s="95"/>
      <c r="E719" s="95"/>
      <c r="F719" s="92"/>
      <c r="G719" s="18" t="s">
        <v>1041</v>
      </c>
      <c r="J719" t="s">
        <v>1041</v>
      </c>
      <c r="L719" t="s">
        <v>1040</v>
      </c>
      <c r="M719" s="83"/>
      <c r="N719" s="83"/>
      <c r="O719" s="82"/>
      <c r="P719" t="s">
        <v>1057</v>
      </c>
      <c r="Q719" s="104"/>
    </row>
    <row r="720" spans="1:18" x14ac:dyDescent="0.25">
      <c r="A720" s="87"/>
      <c r="B720" s="98"/>
      <c r="C720" s="95"/>
      <c r="D720" s="95"/>
      <c r="E720" s="95"/>
      <c r="F720" s="92"/>
      <c r="J720" t="s">
        <v>1042</v>
      </c>
      <c r="K720" t="s">
        <v>1043</v>
      </c>
      <c r="M720" s="83"/>
      <c r="N720" s="83"/>
      <c r="O720" s="82"/>
      <c r="P720" t="s">
        <v>1054</v>
      </c>
      <c r="Q720" s="104"/>
    </row>
    <row r="721" spans="1:18" x14ac:dyDescent="0.25">
      <c r="A721" s="87"/>
      <c r="B721" s="98"/>
      <c r="C721" s="95"/>
      <c r="D721" s="95"/>
      <c r="E721" s="95"/>
      <c r="F721" s="92"/>
      <c r="J721" t="s">
        <v>59</v>
      </c>
      <c r="M721" s="83"/>
      <c r="N721" s="83"/>
      <c r="O721" s="82"/>
      <c r="P721" t="s">
        <v>1046</v>
      </c>
      <c r="Q721" s="104"/>
    </row>
    <row r="722" spans="1:18" x14ac:dyDescent="0.25">
      <c r="A722" s="87"/>
      <c r="B722" s="98"/>
      <c r="C722" s="95"/>
      <c r="D722" s="95"/>
      <c r="E722" s="95"/>
      <c r="F722" s="92"/>
      <c r="J722" t="s">
        <v>57</v>
      </c>
      <c r="L722" t="s">
        <v>1048</v>
      </c>
      <c r="M722" s="83"/>
      <c r="N722" s="83"/>
      <c r="O722" s="82"/>
      <c r="P722" t="s">
        <v>1047</v>
      </c>
      <c r="Q722" s="104"/>
    </row>
    <row r="723" spans="1:18" x14ac:dyDescent="0.25">
      <c r="A723" s="87"/>
      <c r="B723" s="98"/>
      <c r="C723" s="95"/>
      <c r="D723" s="95"/>
      <c r="E723" s="95"/>
      <c r="F723" s="92"/>
      <c r="J723" t="s">
        <v>602</v>
      </c>
      <c r="M723" s="83"/>
      <c r="N723" s="83"/>
      <c r="O723" s="82"/>
      <c r="P723" t="s">
        <v>1044</v>
      </c>
      <c r="Q723" s="104"/>
    </row>
    <row r="724" spans="1:18" x14ac:dyDescent="0.25">
      <c r="A724" s="87"/>
      <c r="B724" s="98"/>
      <c r="C724" s="95"/>
      <c r="D724" s="95"/>
      <c r="E724" s="95"/>
      <c r="F724" s="92"/>
      <c r="J724" t="s">
        <v>1049</v>
      </c>
      <c r="L724" t="s">
        <v>325</v>
      </c>
      <c r="M724" s="83"/>
      <c r="N724" s="83"/>
      <c r="O724" s="82"/>
      <c r="P724" t="s">
        <v>1045</v>
      </c>
      <c r="Q724" s="104"/>
    </row>
    <row r="725" spans="1:18" x14ac:dyDescent="0.25">
      <c r="A725" s="87"/>
      <c r="B725" s="98"/>
      <c r="C725" s="95"/>
      <c r="D725" s="95"/>
      <c r="E725" s="95"/>
      <c r="F725" s="92"/>
      <c r="J725" t="s">
        <v>1050</v>
      </c>
      <c r="K725" t="s">
        <v>1051</v>
      </c>
      <c r="M725" s="83"/>
      <c r="N725" s="83"/>
      <c r="O725" s="82"/>
      <c r="P725" t="s">
        <v>1052</v>
      </c>
      <c r="Q725" s="104"/>
    </row>
    <row r="726" spans="1:18" x14ac:dyDescent="0.25">
      <c r="A726" s="87"/>
      <c r="B726" s="98"/>
      <c r="C726" s="95"/>
      <c r="D726" s="95"/>
      <c r="E726" s="95"/>
      <c r="F726" s="92"/>
      <c r="J726" t="s">
        <v>874</v>
      </c>
      <c r="K726" t="s">
        <v>1051</v>
      </c>
      <c r="M726" s="83"/>
      <c r="N726" s="83"/>
      <c r="O726" s="82"/>
      <c r="P726" t="s">
        <v>1052</v>
      </c>
      <c r="Q726" s="104"/>
    </row>
    <row r="727" spans="1:18" x14ac:dyDescent="0.25">
      <c r="A727" s="81"/>
      <c r="B727" s="99"/>
      <c r="C727" s="96"/>
      <c r="D727" s="96"/>
      <c r="E727" s="96"/>
      <c r="F727" s="93"/>
      <c r="J727" t="s">
        <v>695</v>
      </c>
      <c r="L727" t="s">
        <v>1055</v>
      </c>
      <c r="M727" s="73"/>
      <c r="N727" s="73"/>
      <c r="O727" s="71"/>
      <c r="P727" t="s">
        <v>1056</v>
      </c>
      <c r="Q727" s="105"/>
    </row>
    <row r="728" spans="1:18" s="6" customFormat="1" x14ac:dyDescent="0.25">
      <c r="A728" s="80">
        <f>$A$2+192</f>
        <v>193</v>
      </c>
      <c r="B728" s="97">
        <v>29</v>
      </c>
      <c r="C728" s="94">
        <v>7</v>
      </c>
      <c r="D728" s="94">
        <v>1727</v>
      </c>
      <c r="E728" s="94">
        <f>F728-5</f>
        <v>394</v>
      </c>
      <c r="F728" s="91">
        <v>399</v>
      </c>
      <c r="G728" s="20" t="s">
        <v>554</v>
      </c>
      <c r="H728" s="20" t="s">
        <v>298</v>
      </c>
      <c r="I728" s="6" t="s">
        <v>27</v>
      </c>
      <c r="J728" s="6" t="s">
        <v>554</v>
      </c>
      <c r="M728" s="72" t="s">
        <v>1069</v>
      </c>
      <c r="N728" s="72" t="s">
        <v>9</v>
      </c>
      <c r="O728" s="70" t="s">
        <v>1071</v>
      </c>
      <c r="Q728" s="8"/>
      <c r="R728" s="8"/>
    </row>
    <row r="729" spans="1:18" x14ac:dyDescent="0.25">
      <c r="A729" s="87"/>
      <c r="B729" s="98"/>
      <c r="C729" s="95"/>
      <c r="D729" s="95"/>
      <c r="E729" s="95"/>
      <c r="F729" s="92"/>
      <c r="I729" t="s">
        <v>27</v>
      </c>
      <c r="J729" t="s">
        <v>298</v>
      </c>
      <c r="M729" s="83"/>
      <c r="N729" s="83"/>
      <c r="O729" s="82"/>
    </row>
    <row r="730" spans="1:18" x14ac:dyDescent="0.25">
      <c r="A730" s="87"/>
      <c r="B730" s="98"/>
      <c r="C730" s="95"/>
      <c r="D730" s="95"/>
      <c r="E730" s="95"/>
      <c r="F730" s="92"/>
      <c r="J730" t="s">
        <v>1066</v>
      </c>
      <c r="L730" t="s">
        <v>1067</v>
      </c>
      <c r="M730" s="83"/>
      <c r="N730" s="83"/>
      <c r="O730" s="82"/>
      <c r="P730" t="s">
        <v>1068</v>
      </c>
    </row>
    <row r="731" spans="1:18" x14ac:dyDescent="0.25">
      <c r="A731" s="87"/>
      <c r="B731" s="98"/>
      <c r="C731" s="95"/>
      <c r="D731" s="95"/>
      <c r="E731" s="95"/>
      <c r="F731" s="92"/>
      <c r="J731" t="s">
        <v>458</v>
      </c>
      <c r="L731" t="s">
        <v>1060</v>
      </c>
      <c r="M731" s="83"/>
      <c r="N731" s="83"/>
      <c r="O731" s="82"/>
    </row>
    <row r="732" spans="1:18" x14ac:dyDescent="0.25">
      <c r="A732" s="87"/>
      <c r="B732" s="98"/>
      <c r="C732" s="95"/>
      <c r="D732" s="95"/>
      <c r="E732" s="95"/>
      <c r="F732" s="92"/>
      <c r="I732" t="s">
        <v>31</v>
      </c>
      <c r="J732" t="s">
        <v>940</v>
      </c>
      <c r="L732" t="s">
        <v>1070</v>
      </c>
      <c r="M732" s="83"/>
      <c r="N732" s="83"/>
      <c r="O732" s="82"/>
    </row>
    <row r="733" spans="1:18" x14ac:dyDescent="0.25">
      <c r="A733" s="87"/>
      <c r="B733" s="98"/>
      <c r="C733" s="95"/>
      <c r="D733" s="95"/>
      <c r="E733" s="95"/>
      <c r="F733" s="92"/>
      <c r="I733" t="s">
        <v>27</v>
      </c>
      <c r="J733" t="s">
        <v>1061</v>
      </c>
      <c r="M733" s="83"/>
      <c r="N733" s="83"/>
      <c r="O733" s="82"/>
    </row>
    <row r="734" spans="1:18" x14ac:dyDescent="0.25">
      <c r="A734" s="87"/>
      <c r="B734" s="98"/>
      <c r="C734" s="95"/>
      <c r="D734" s="95"/>
      <c r="E734" s="95"/>
      <c r="F734" s="92"/>
      <c r="I734" t="s">
        <v>27</v>
      </c>
      <c r="J734" t="s">
        <v>857</v>
      </c>
      <c r="M734" s="83"/>
      <c r="N734" s="83"/>
      <c r="O734" s="82"/>
    </row>
    <row r="735" spans="1:18" x14ac:dyDescent="0.25">
      <c r="A735" s="87"/>
      <c r="B735" s="98"/>
      <c r="C735" s="95"/>
      <c r="D735" s="95"/>
      <c r="E735" s="95"/>
      <c r="F735" s="92"/>
      <c r="J735" t="s">
        <v>458</v>
      </c>
      <c r="K735" t="s">
        <v>1020</v>
      </c>
      <c r="M735" s="83"/>
      <c r="N735" s="83"/>
      <c r="O735" s="82"/>
      <c r="P735" t="s">
        <v>1064</v>
      </c>
    </row>
    <row r="736" spans="1:18" x14ac:dyDescent="0.25">
      <c r="A736" s="87"/>
      <c r="B736" s="98"/>
      <c r="C736" s="95"/>
      <c r="D736" s="95"/>
      <c r="E736" s="95"/>
      <c r="F736" s="92"/>
      <c r="J736" t="s">
        <v>1062</v>
      </c>
      <c r="M736" s="83"/>
      <c r="N736" s="83"/>
      <c r="O736" s="82"/>
    </row>
    <row r="737" spans="1:18" x14ac:dyDescent="0.25">
      <c r="A737" s="87"/>
      <c r="B737" s="98"/>
      <c r="C737" s="95"/>
      <c r="D737" s="95"/>
      <c r="E737" s="95"/>
      <c r="F737" s="92"/>
      <c r="J737" t="s">
        <v>458</v>
      </c>
      <c r="K737" t="s">
        <v>1063</v>
      </c>
      <c r="M737" s="83"/>
      <c r="N737" s="83"/>
      <c r="O737" s="82"/>
    </row>
    <row r="738" spans="1:18" x14ac:dyDescent="0.25">
      <c r="A738" s="87"/>
      <c r="B738" s="98"/>
      <c r="C738" s="95"/>
      <c r="D738" s="95"/>
      <c r="E738" s="95"/>
      <c r="F738" s="92"/>
      <c r="I738" t="s">
        <v>27</v>
      </c>
      <c r="J738" t="s">
        <v>1065</v>
      </c>
      <c r="M738" s="83"/>
      <c r="N738" s="83"/>
      <c r="O738" s="82"/>
    </row>
    <row r="739" spans="1:18" x14ac:dyDescent="0.25">
      <c r="A739" s="87"/>
      <c r="B739" s="98"/>
      <c r="C739" s="95"/>
      <c r="D739" s="95"/>
      <c r="E739" s="95"/>
      <c r="F739" s="92"/>
      <c r="I739" t="s">
        <v>27</v>
      </c>
      <c r="J739" t="s">
        <v>194</v>
      </c>
      <c r="M739" s="83"/>
      <c r="N739" s="83"/>
      <c r="O739" s="82"/>
    </row>
    <row r="740" spans="1:18" x14ac:dyDescent="0.25">
      <c r="A740" s="81"/>
      <c r="B740" s="99"/>
      <c r="C740" s="96"/>
      <c r="D740" s="96"/>
      <c r="E740" s="96"/>
      <c r="F740" s="93"/>
      <c r="J740" t="s">
        <v>256</v>
      </c>
      <c r="L740" t="s">
        <v>414</v>
      </c>
      <c r="M740" s="73"/>
      <c r="N740" s="73"/>
      <c r="O740" s="71"/>
    </row>
    <row r="741" spans="1:18" s="6" customFormat="1" x14ac:dyDescent="0.25">
      <c r="A741" s="80">
        <f>$A$2+193</f>
        <v>194</v>
      </c>
      <c r="B741" s="97">
        <v>29</v>
      </c>
      <c r="C741" s="94">
        <v>7</v>
      </c>
      <c r="D741" s="94">
        <v>1727</v>
      </c>
      <c r="E741" s="94">
        <f>F741-5</f>
        <v>395</v>
      </c>
      <c r="F741" s="91">
        <v>400</v>
      </c>
      <c r="G741" s="20" t="s">
        <v>298</v>
      </c>
      <c r="H741" s="20" t="s">
        <v>554</v>
      </c>
      <c r="I741" s="6" t="s">
        <v>27</v>
      </c>
      <c r="J741" s="6" t="s">
        <v>554</v>
      </c>
      <c r="M741" s="72" t="s">
        <v>1078</v>
      </c>
      <c r="N741" s="72" t="s">
        <v>9</v>
      </c>
      <c r="O741" s="70" t="s">
        <v>1079</v>
      </c>
      <c r="Q741" s="8"/>
      <c r="R741" s="8"/>
    </row>
    <row r="742" spans="1:18" x14ac:dyDescent="0.25">
      <c r="A742" s="87"/>
      <c r="B742" s="98"/>
      <c r="C742" s="95"/>
      <c r="D742" s="95"/>
      <c r="E742" s="95"/>
      <c r="F742" s="92"/>
      <c r="J742" t="s">
        <v>1074</v>
      </c>
      <c r="L742" t="s">
        <v>1075</v>
      </c>
      <c r="M742" s="83"/>
      <c r="N742" s="83"/>
      <c r="O742" s="82"/>
      <c r="P742" t="s">
        <v>1076</v>
      </c>
    </row>
    <row r="743" spans="1:18" x14ac:dyDescent="0.25">
      <c r="A743" s="87"/>
      <c r="B743" s="98"/>
      <c r="C743" s="95"/>
      <c r="D743" s="95"/>
      <c r="E743" s="95"/>
      <c r="F743" s="92"/>
      <c r="I743" t="s">
        <v>27</v>
      </c>
      <c r="J743" t="s">
        <v>298</v>
      </c>
      <c r="M743" s="83"/>
      <c r="N743" s="83"/>
      <c r="O743" s="82"/>
      <c r="P743" t="s">
        <v>1077</v>
      </c>
    </row>
    <row r="744" spans="1:18" x14ac:dyDescent="0.25">
      <c r="A744" s="87"/>
      <c r="B744" s="98"/>
      <c r="C744" s="95"/>
      <c r="D744" s="95"/>
      <c r="E744" s="95"/>
      <c r="F744" s="92"/>
      <c r="I744" t="s">
        <v>27</v>
      </c>
      <c r="J744" t="s">
        <v>1062</v>
      </c>
      <c r="M744" s="83"/>
      <c r="N744" s="83"/>
      <c r="O744" s="82"/>
    </row>
    <row r="745" spans="1:18" x14ac:dyDescent="0.25">
      <c r="A745" s="87"/>
      <c r="B745" s="98"/>
      <c r="C745" s="95"/>
      <c r="D745" s="95"/>
      <c r="E745" s="95"/>
      <c r="F745" s="92"/>
      <c r="J745" t="s">
        <v>869</v>
      </c>
      <c r="M745" s="83"/>
      <c r="N745" s="83"/>
      <c r="O745" s="82"/>
    </row>
    <row r="746" spans="1:18" x14ac:dyDescent="0.25">
      <c r="A746" s="87"/>
      <c r="B746" s="98"/>
      <c r="C746" s="95"/>
      <c r="D746" s="95"/>
      <c r="E746" s="95"/>
      <c r="F746" s="92"/>
      <c r="I746" t="s">
        <v>35</v>
      </c>
      <c r="J746" t="s">
        <v>1072</v>
      </c>
      <c r="M746" s="83"/>
      <c r="N746" s="83"/>
      <c r="O746" s="82"/>
      <c r="P746" t="s">
        <v>1073</v>
      </c>
    </row>
    <row r="747" spans="1:18" x14ac:dyDescent="0.25">
      <c r="A747" s="87"/>
      <c r="B747" s="98"/>
      <c r="C747" s="95"/>
      <c r="D747" s="95"/>
      <c r="E747" s="95"/>
      <c r="F747" s="92"/>
      <c r="J747" t="s">
        <v>209</v>
      </c>
      <c r="M747" s="83"/>
      <c r="N747" s="83"/>
      <c r="O747" s="82"/>
    </row>
    <row r="748" spans="1:18" x14ac:dyDescent="0.25">
      <c r="A748" s="87"/>
      <c r="B748" s="98"/>
      <c r="C748" s="95"/>
      <c r="D748" s="95"/>
      <c r="E748" s="95"/>
      <c r="F748" s="92"/>
      <c r="I748" t="s">
        <v>27</v>
      </c>
      <c r="J748" t="s">
        <v>961</v>
      </c>
      <c r="M748" s="83"/>
      <c r="N748" s="83"/>
      <c r="O748" s="82"/>
    </row>
    <row r="749" spans="1:18" x14ac:dyDescent="0.25">
      <c r="A749" s="81"/>
      <c r="B749" s="99"/>
      <c r="C749" s="96"/>
      <c r="D749" s="96"/>
      <c r="E749" s="96"/>
      <c r="F749" s="93"/>
      <c r="J749" t="s">
        <v>1024</v>
      </c>
      <c r="M749" s="73"/>
      <c r="N749" s="73"/>
      <c r="O749" s="71"/>
    </row>
    <row r="750" spans="1:18" s="6" customFormat="1" x14ac:dyDescent="0.25">
      <c r="A750" s="80">
        <f>$A$2+194</f>
        <v>195</v>
      </c>
      <c r="B750" s="97">
        <v>29</v>
      </c>
      <c r="C750" s="94">
        <v>7</v>
      </c>
      <c r="D750" s="94">
        <v>1727</v>
      </c>
      <c r="E750" s="94">
        <f>F750-5</f>
        <v>396</v>
      </c>
      <c r="F750" s="91">
        <v>401</v>
      </c>
      <c r="G750" s="20" t="s">
        <v>947</v>
      </c>
      <c r="H750" s="20" t="s">
        <v>298</v>
      </c>
      <c r="I750" s="6" t="s">
        <v>103</v>
      </c>
      <c r="J750" s="6" t="s">
        <v>947</v>
      </c>
      <c r="K750" s="6" t="s">
        <v>1081</v>
      </c>
      <c r="M750" s="72" t="s">
        <v>1082</v>
      </c>
      <c r="N750" s="72" t="s">
        <v>20</v>
      </c>
      <c r="O750" s="70" t="s">
        <v>1083</v>
      </c>
      <c r="Q750" s="8"/>
      <c r="R750" s="8"/>
    </row>
    <row r="751" spans="1:18" x14ac:dyDescent="0.25">
      <c r="A751" s="87"/>
      <c r="B751" s="98"/>
      <c r="C751" s="95"/>
      <c r="D751" s="95"/>
      <c r="E751" s="95"/>
      <c r="F751" s="92"/>
      <c r="G751" s="18" t="s">
        <v>1080</v>
      </c>
      <c r="I751" t="s">
        <v>103</v>
      </c>
      <c r="J751" t="s">
        <v>1080</v>
      </c>
      <c r="K751" t="s">
        <v>1081</v>
      </c>
      <c r="M751" s="83"/>
      <c r="N751" s="83"/>
      <c r="O751" s="82"/>
    </row>
    <row r="752" spans="1:18" x14ac:dyDescent="0.25">
      <c r="A752" s="81"/>
      <c r="B752" s="99"/>
      <c r="C752" s="96"/>
      <c r="D752" s="96"/>
      <c r="E752" s="96"/>
      <c r="F752" s="93"/>
      <c r="I752" t="s">
        <v>27</v>
      </c>
      <c r="J752" t="s">
        <v>298</v>
      </c>
      <c r="M752" s="73"/>
      <c r="N752" s="73"/>
      <c r="O752" s="71"/>
    </row>
    <row r="753" spans="1:18" s="6" customFormat="1" x14ac:dyDescent="0.25">
      <c r="A753" s="80">
        <f>$A$2+195</f>
        <v>196</v>
      </c>
      <c r="B753" s="97">
        <v>29</v>
      </c>
      <c r="C753" s="94">
        <v>7</v>
      </c>
      <c r="D753" s="94">
        <v>1727</v>
      </c>
      <c r="E753" s="94">
        <f>F753-5</f>
        <v>396</v>
      </c>
      <c r="F753" s="91">
        <v>401</v>
      </c>
      <c r="G753" s="20" t="s">
        <v>554</v>
      </c>
      <c r="H753" s="20" t="s">
        <v>298</v>
      </c>
      <c r="J753" s="6" t="s">
        <v>554</v>
      </c>
      <c r="K753" s="6" t="s">
        <v>1084</v>
      </c>
      <c r="M753" s="72" t="s">
        <v>1069</v>
      </c>
      <c r="N753" s="72" t="s">
        <v>53</v>
      </c>
      <c r="O753" s="70" t="s">
        <v>1086</v>
      </c>
      <c r="Q753" s="8"/>
      <c r="R753" s="8"/>
    </row>
    <row r="754" spans="1:18" x14ac:dyDescent="0.25">
      <c r="A754" s="87"/>
      <c r="B754" s="98"/>
      <c r="C754" s="95"/>
      <c r="D754" s="95"/>
      <c r="E754" s="95"/>
      <c r="F754" s="92"/>
      <c r="J754" t="s">
        <v>458</v>
      </c>
      <c r="K754" t="s">
        <v>1020</v>
      </c>
      <c r="M754" s="83"/>
      <c r="N754" s="83"/>
      <c r="O754" s="82"/>
    </row>
    <row r="755" spans="1:18" x14ac:dyDescent="0.25">
      <c r="A755" s="87"/>
      <c r="B755" s="98"/>
      <c r="C755" s="95"/>
      <c r="D755" s="95"/>
      <c r="E755" s="95"/>
      <c r="F755" s="92"/>
      <c r="J755" t="s">
        <v>1074</v>
      </c>
      <c r="L755" t="s">
        <v>1075</v>
      </c>
      <c r="M755" s="83"/>
      <c r="N755" s="83"/>
      <c r="O755" s="82"/>
    </row>
    <row r="756" spans="1:18" x14ac:dyDescent="0.25">
      <c r="A756" s="87"/>
      <c r="B756" s="98"/>
      <c r="C756" s="95"/>
      <c r="D756" s="95"/>
      <c r="E756" s="95"/>
      <c r="F756" s="92"/>
      <c r="J756" t="s">
        <v>298</v>
      </c>
      <c r="M756" s="83"/>
      <c r="N756" s="83"/>
      <c r="O756" s="82"/>
      <c r="P756" t="s">
        <v>1085</v>
      </c>
    </row>
    <row r="757" spans="1:18" x14ac:dyDescent="0.25">
      <c r="A757" s="81"/>
      <c r="B757" s="99"/>
      <c r="C757" s="96"/>
      <c r="D757" s="96"/>
      <c r="E757" s="96"/>
      <c r="F757" s="93"/>
      <c r="J757" t="s">
        <v>209</v>
      </c>
      <c r="M757" s="73"/>
      <c r="N757" s="73"/>
      <c r="O757" s="71"/>
    </row>
    <row r="758" spans="1:18" s="6" customFormat="1" x14ac:dyDescent="0.25">
      <c r="A758" s="80">
        <f>$A$2+196</f>
        <v>197</v>
      </c>
      <c r="B758" s="97">
        <v>8</v>
      </c>
      <c r="C758" s="94">
        <v>8</v>
      </c>
      <c r="D758" s="94">
        <v>1727</v>
      </c>
      <c r="E758" s="94">
        <f>F758-5</f>
        <v>397</v>
      </c>
      <c r="F758" s="91">
        <v>402</v>
      </c>
      <c r="G758" s="20" t="s">
        <v>123</v>
      </c>
      <c r="H758" s="20" t="s">
        <v>1087</v>
      </c>
      <c r="I758" s="6" t="s">
        <v>27</v>
      </c>
      <c r="J758" s="6" t="s">
        <v>123</v>
      </c>
      <c r="M758" s="72" t="s">
        <v>244</v>
      </c>
      <c r="N758" s="72" t="s">
        <v>9</v>
      </c>
      <c r="O758" s="70" t="s">
        <v>1090</v>
      </c>
      <c r="Q758" s="8"/>
      <c r="R758" s="8"/>
    </row>
    <row r="759" spans="1:18" x14ac:dyDescent="0.25">
      <c r="A759" s="87"/>
      <c r="B759" s="98"/>
      <c r="C759" s="95"/>
      <c r="D759" s="95"/>
      <c r="E759" s="95"/>
      <c r="F759" s="92"/>
      <c r="J759" t="s">
        <v>1087</v>
      </c>
      <c r="M759" s="83"/>
      <c r="N759" s="83"/>
      <c r="O759" s="82"/>
    </row>
    <row r="760" spans="1:18" x14ac:dyDescent="0.25">
      <c r="A760" s="87"/>
      <c r="B760" s="98"/>
      <c r="C760" s="95"/>
      <c r="D760" s="95"/>
      <c r="E760" s="95"/>
      <c r="F760" s="92"/>
      <c r="J760" t="s">
        <v>458</v>
      </c>
      <c r="L760" t="s">
        <v>1091</v>
      </c>
      <c r="M760" s="83"/>
      <c r="N760" s="83"/>
      <c r="O760" s="82"/>
    </row>
    <row r="761" spans="1:18" x14ac:dyDescent="0.25">
      <c r="A761" s="87"/>
      <c r="B761" s="98"/>
      <c r="C761" s="95"/>
      <c r="D761" s="95"/>
      <c r="E761" s="95"/>
      <c r="F761" s="92"/>
      <c r="I761" t="s">
        <v>27</v>
      </c>
      <c r="J761" t="s">
        <v>677</v>
      </c>
      <c r="M761" s="83"/>
      <c r="N761" s="83"/>
      <c r="O761" s="82"/>
    </row>
    <row r="762" spans="1:18" x14ac:dyDescent="0.25">
      <c r="A762" s="87"/>
      <c r="B762" s="98"/>
      <c r="C762" s="95"/>
      <c r="D762" s="95"/>
      <c r="E762" s="95"/>
      <c r="F762" s="92"/>
      <c r="J762" t="s">
        <v>1088</v>
      </c>
      <c r="M762" s="83"/>
      <c r="N762" s="83"/>
      <c r="O762" s="82"/>
    </row>
    <row r="763" spans="1:18" x14ac:dyDescent="0.25">
      <c r="A763" s="81"/>
      <c r="B763" s="99"/>
      <c r="C763" s="96"/>
      <c r="D763" s="96"/>
      <c r="E763" s="96"/>
      <c r="F763" s="93"/>
      <c r="J763" t="s">
        <v>1089</v>
      </c>
      <c r="M763" s="73"/>
      <c r="N763" s="73"/>
      <c r="O763" s="71"/>
    </row>
    <row r="764" spans="1:18" s="6" customFormat="1" x14ac:dyDescent="0.25">
      <c r="A764" s="80">
        <f>$A$2+197</f>
        <v>198</v>
      </c>
      <c r="B764" s="97">
        <v>8</v>
      </c>
      <c r="C764" s="94">
        <v>8</v>
      </c>
      <c r="D764" s="94">
        <v>1727</v>
      </c>
      <c r="E764" s="94">
        <f>F764-5</f>
        <v>397</v>
      </c>
      <c r="F764" s="91">
        <v>402</v>
      </c>
      <c r="G764" s="20"/>
      <c r="H764" s="20"/>
      <c r="J764" s="6" t="s">
        <v>1087</v>
      </c>
      <c r="M764" s="72" t="s">
        <v>1092</v>
      </c>
      <c r="N764" s="72" t="s">
        <v>53</v>
      </c>
      <c r="O764" s="70" t="s">
        <v>1093</v>
      </c>
      <c r="Q764" s="8"/>
      <c r="R764" s="8"/>
    </row>
    <row r="765" spans="1:18" x14ac:dyDescent="0.25">
      <c r="A765" s="87"/>
      <c r="B765" s="98"/>
      <c r="C765" s="95"/>
      <c r="D765" s="95"/>
      <c r="E765" s="95"/>
      <c r="F765" s="92"/>
      <c r="J765" t="s">
        <v>1089</v>
      </c>
      <c r="M765" s="83"/>
      <c r="N765" s="83"/>
      <c r="O765" s="82"/>
    </row>
    <row r="766" spans="1:18" x14ac:dyDescent="0.25">
      <c r="A766" s="87"/>
      <c r="B766" s="98"/>
      <c r="C766" s="95"/>
      <c r="D766" s="95"/>
      <c r="E766" s="95"/>
      <c r="F766" s="92"/>
      <c r="J766" t="s">
        <v>1088</v>
      </c>
      <c r="M766" s="83"/>
      <c r="N766" s="83"/>
      <c r="O766" s="82"/>
    </row>
    <row r="767" spans="1:18" x14ac:dyDescent="0.25">
      <c r="A767" s="81"/>
      <c r="B767" s="99"/>
      <c r="C767" s="96"/>
      <c r="D767" s="96"/>
      <c r="E767" s="96"/>
      <c r="F767" s="93"/>
      <c r="J767" t="s">
        <v>458</v>
      </c>
      <c r="L767" t="s">
        <v>1091</v>
      </c>
      <c r="M767" s="73"/>
      <c r="N767" s="73"/>
      <c r="O767" s="71"/>
    </row>
    <row r="768" spans="1:18" s="6" customFormat="1" x14ac:dyDescent="0.25">
      <c r="A768" s="80">
        <f>$A$2+198</f>
        <v>199</v>
      </c>
      <c r="B768" s="97">
        <v>9</v>
      </c>
      <c r="C768" s="94">
        <v>8</v>
      </c>
      <c r="D768" s="94">
        <v>1727</v>
      </c>
      <c r="E768" s="94">
        <f>F768-5</f>
        <v>398</v>
      </c>
      <c r="F768" s="91">
        <v>403</v>
      </c>
      <c r="G768" s="20" t="s">
        <v>1036</v>
      </c>
      <c r="H768" s="20" t="s">
        <v>1035</v>
      </c>
      <c r="J768" s="6" t="s">
        <v>1036</v>
      </c>
      <c r="M768" s="72" t="s">
        <v>244</v>
      </c>
      <c r="N768" s="72" t="s">
        <v>53</v>
      </c>
      <c r="O768" s="70" t="s">
        <v>1096</v>
      </c>
      <c r="Q768" s="8"/>
      <c r="R768" s="8"/>
    </row>
    <row r="769" spans="1:18" x14ac:dyDescent="0.25">
      <c r="A769" s="87"/>
      <c r="B769" s="98"/>
      <c r="C769" s="95"/>
      <c r="D769" s="95"/>
      <c r="E769" s="95"/>
      <c r="F769" s="92"/>
      <c r="J769" t="s">
        <v>1035</v>
      </c>
      <c r="M769" s="83"/>
      <c r="N769" s="83"/>
      <c r="O769" s="82"/>
    </row>
    <row r="770" spans="1:18" x14ac:dyDescent="0.25">
      <c r="A770" s="87"/>
      <c r="B770" s="98"/>
      <c r="C770" s="95"/>
      <c r="D770" s="95"/>
      <c r="E770" s="95"/>
      <c r="F770" s="92"/>
      <c r="J770" t="s">
        <v>458</v>
      </c>
      <c r="L770" t="s">
        <v>1094</v>
      </c>
      <c r="M770" s="83"/>
      <c r="N770" s="83"/>
      <c r="O770" s="82"/>
    </row>
    <row r="771" spans="1:18" x14ac:dyDescent="0.25">
      <c r="A771" s="81"/>
      <c r="B771" s="99"/>
      <c r="C771" s="96"/>
      <c r="D771" s="96"/>
      <c r="E771" s="96"/>
      <c r="F771" s="93"/>
      <c r="J771" t="s">
        <v>458</v>
      </c>
      <c r="L771" t="s">
        <v>1095</v>
      </c>
      <c r="M771" s="73"/>
      <c r="N771" s="73"/>
      <c r="O771" s="71"/>
    </row>
    <row r="772" spans="1:18" s="6" customFormat="1" x14ac:dyDescent="0.25">
      <c r="A772" s="80">
        <f>$A$2+199</f>
        <v>200</v>
      </c>
      <c r="B772" s="97">
        <v>12</v>
      </c>
      <c r="C772" s="94">
        <v>8</v>
      </c>
      <c r="D772" s="94">
        <v>1727</v>
      </c>
      <c r="E772" s="94">
        <f>F772-5</f>
        <v>398</v>
      </c>
      <c r="F772" s="91">
        <v>403</v>
      </c>
      <c r="G772" s="20" t="s">
        <v>871</v>
      </c>
      <c r="H772" s="20" t="s">
        <v>734</v>
      </c>
      <c r="I772" s="6" t="s">
        <v>27</v>
      </c>
      <c r="J772" s="6" t="s">
        <v>871</v>
      </c>
      <c r="M772" s="72" t="s">
        <v>1069</v>
      </c>
      <c r="N772" s="72" t="s">
        <v>9</v>
      </c>
      <c r="O772" s="70" t="s">
        <v>1101</v>
      </c>
      <c r="Q772" s="8"/>
      <c r="R772" s="8"/>
    </row>
    <row r="773" spans="1:18" x14ac:dyDescent="0.25">
      <c r="A773" s="87"/>
      <c r="B773" s="98"/>
      <c r="C773" s="95"/>
      <c r="D773" s="95"/>
      <c r="E773" s="95"/>
      <c r="F773" s="92"/>
      <c r="J773" t="s">
        <v>458</v>
      </c>
      <c r="L773" t="s">
        <v>1098</v>
      </c>
      <c r="M773" s="83"/>
      <c r="N773" s="83"/>
      <c r="O773" s="82"/>
      <c r="P773" t="s">
        <v>1099</v>
      </c>
    </row>
    <row r="774" spans="1:18" x14ac:dyDescent="0.25">
      <c r="A774" s="87"/>
      <c r="B774" s="98"/>
      <c r="C774" s="95"/>
      <c r="D774" s="95"/>
      <c r="E774" s="95"/>
      <c r="F774" s="92"/>
      <c r="I774" t="s">
        <v>27</v>
      </c>
      <c r="J774" t="s">
        <v>734</v>
      </c>
      <c r="M774" s="83"/>
      <c r="N774" s="83"/>
      <c r="O774" s="82"/>
    </row>
    <row r="775" spans="1:18" x14ac:dyDescent="0.25">
      <c r="A775" s="87"/>
      <c r="B775" s="98"/>
      <c r="C775" s="95"/>
      <c r="D775" s="95"/>
      <c r="E775" s="95"/>
      <c r="F775" s="92"/>
      <c r="I775" t="s">
        <v>27</v>
      </c>
      <c r="J775" t="s">
        <v>1097</v>
      </c>
      <c r="M775" s="83"/>
      <c r="N775" s="83"/>
      <c r="O775" s="82"/>
    </row>
    <row r="776" spans="1:18" x14ac:dyDescent="0.25">
      <c r="A776" s="87"/>
      <c r="B776" s="98"/>
      <c r="C776" s="95"/>
      <c r="D776" s="95"/>
      <c r="E776" s="95"/>
      <c r="F776" s="92"/>
      <c r="I776" t="s">
        <v>27</v>
      </c>
      <c r="J776" t="s">
        <v>1100</v>
      </c>
      <c r="M776" s="83"/>
      <c r="N776" s="83"/>
      <c r="O776" s="82"/>
    </row>
    <row r="777" spans="1:18" x14ac:dyDescent="0.25">
      <c r="A777" s="81"/>
      <c r="B777" s="99"/>
      <c r="C777" s="96"/>
      <c r="D777" s="96"/>
      <c r="E777" s="96"/>
      <c r="F777" s="93"/>
      <c r="J777" t="s">
        <v>1035</v>
      </c>
      <c r="M777" s="73"/>
      <c r="N777" s="73"/>
      <c r="O777" s="71"/>
    </row>
    <row r="778" spans="1:18" s="6" customFormat="1" x14ac:dyDescent="0.25">
      <c r="A778" s="80">
        <f>$A$2+200</f>
        <v>201</v>
      </c>
      <c r="B778" s="97">
        <v>12</v>
      </c>
      <c r="C778" s="94">
        <v>8</v>
      </c>
      <c r="D778" s="94">
        <v>1727</v>
      </c>
      <c r="E778" s="94">
        <f>F778-5</f>
        <v>398</v>
      </c>
      <c r="F778" s="91">
        <v>403</v>
      </c>
      <c r="G778" s="20" t="s">
        <v>930</v>
      </c>
      <c r="H778" s="20" t="s">
        <v>922</v>
      </c>
      <c r="J778" s="6" t="s">
        <v>930</v>
      </c>
      <c r="M778" s="72" t="s">
        <v>108</v>
      </c>
      <c r="N778" s="72" t="s">
        <v>53</v>
      </c>
      <c r="O778" s="70" t="s">
        <v>1102</v>
      </c>
      <c r="Q778" s="8"/>
      <c r="R778" s="8"/>
    </row>
    <row r="779" spans="1:18" x14ac:dyDescent="0.25">
      <c r="A779" s="81"/>
      <c r="B779" s="99"/>
      <c r="C779" s="96"/>
      <c r="D779" s="96"/>
      <c r="E779" s="96"/>
      <c r="F779" s="93"/>
      <c r="J779" t="s">
        <v>922</v>
      </c>
      <c r="M779" s="73"/>
      <c r="N779" s="73"/>
      <c r="O779" s="71"/>
    </row>
    <row r="780" spans="1:18" s="6" customFormat="1" x14ac:dyDescent="0.25">
      <c r="A780" s="80">
        <f>$A$2+201</f>
        <v>202</v>
      </c>
      <c r="B780" s="97">
        <v>16</v>
      </c>
      <c r="C780" s="94">
        <v>8</v>
      </c>
      <c r="D780" s="94">
        <v>1727</v>
      </c>
      <c r="E780" s="94">
        <f>F780-5</f>
        <v>399</v>
      </c>
      <c r="F780" s="91">
        <v>404</v>
      </c>
      <c r="G780" s="20" t="s">
        <v>1103</v>
      </c>
      <c r="H780" s="20" t="s">
        <v>601</v>
      </c>
      <c r="I780" s="6" t="s">
        <v>27</v>
      </c>
      <c r="J780" s="6" t="s">
        <v>1103</v>
      </c>
      <c r="M780" s="72" t="s">
        <v>244</v>
      </c>
      <c r="N780" s="72" t="s">
        <v>9</v>
      </c>
      <c r="O780" s="70" t="s">
        <v>1106</v>
      </c>
      <c r="Q780" s="8"/>
      <c r="R780" s="8"/>
    </row>
    <row r="781" spans="1:18" x14ac:dyDescent="0.25">
      <c r="A781" s="87"/>
      <c r="B781" s="98"/>
      <c r="C781" s="95"/>
      <c r="D781" s="95"/>
      <c r="E781" s="95"/>
      <c r="F781" s="92"/>
      <c r="I781" t="s">
        <v>27</v>
      </c>
      <c r="J781" t="s">
        <v>601</v>
      </c>
      <c r="M781" s="83"/>
      <c r="N781" s="83"/>
      <c r="O781" s="82"/>
    </row>
    <row r="782" spans="1:18" x14ac:dyDescent="0.25">
      <c r="A782" s="87"/>
      <c r="B782" s="98"/>
      <c r="C782" s="95"/>
      <c r="D782" s="95"/>
      <c r="E782" s="95"/>
      <c r="F782" s="92"/>
      <c r="I782" t="s">
        <v>27</v>
      </c>
      <c r="J782" t="s">
        <v>1104</v>
      </c>
      <c r="M782" s="83"/>
      <c r="N782" s="83"/>
      <c r="O782" s="82"/>
    </row>
    <row r="783" spans="1:18" x14ac:dyDescent="0.25">
      <c r="A783" s="81"/>
      <c r="B783" s="99"/>
      <c r="C783" s="96"/>
      <c r="D783" s="96"/>
      <c r="E783" s="96"/>
      <c r="F783" s="93"/>
      <c r="I783" t="s">
        <v>27</v>
      </c>
      <c r="J783" t="s">
        <v>1105</v>
      </c>
      <c r="M783" s="73"/>
      <c r="N783" s="73"/>
      <c r="O783" s="71"/>
    </row>
    <row r="784" spans="1:18" s="6" customFormat="1" x14ac:dyDescent="0.25">
      <c r="A784" s="80">
        <f>$A$2+202</f>
        <v>203</v>
      </c>
      <c r="B784" s="97">
        <v>16</v>
      </c>
      <c r="C784" s="94">
        <v>8</v>
      </c>
      <c r="D784" s="94">
        <v>1727</v>
      </c>
      <c r="E784" s="94">
        <f>F784-5</f>
        <v>399</v>
      </c>
      <c r="F784" s="91">
        <v>404</v>
      </c>
      <c r="G784" s="20" t="s">
        <v>1103</v>
      </c>
      <c r="H784" s="20" t="s">
        <v>601</v>
      </c>
      <c r="J784" s="6" t="s">
        <v>601</v>
      </c>
      <c r="M784" s="72" t="s">
        <v>244</v>
      </c>
      <c r="N784" s="72" t="s">
        <v>53</v>
      </c>
      <c r="O784" s="70" t="s">
        <v>1106</v>
      </c>
      <c r="Q784" s="8"/>
      <c r="R784" s="8"/>
    </row>
    <row r="785" spans="1:18" x14ac:dyDescent="0.25">
      <c r="A785" s="81"/>
      <c r="B785" s="99"/>
      <c r="C785" s="96"/>
      <c r="D785" s="96"/>
      <c r="E785" s="96"/>
      <c r="F785" s="93"/>
      <c r="J785" t="s">
        <v>1103</v>
      </c>
      <c r="M785" s="73"/>
      <c r="N785" s="73"/>
      <c r="O785" s="71"/>
    </row>
    <row r="786" spans="1:18" s="6" customFormat="1" x14ac:dyDescent="0.25">
      <c r="A786" s="80">
        <f>$A$2+203</f>
        <v>204</v>
      </c>
      <c r="B786" s="97">
        <v>26</v>
      </c>
      <c r="C786" s="94">
        <v>8</v>
      </c>
      <c r="D786" s="94">
        <v>1727</v>
      </c>
      <c r="E786" s="94">
        <f>F786-5</f>
        <v>399</v>
      </c>
      <c r="F786" s="91">
        <v>404</v>
      </c>
      <c r="G786" s="20" t="s">
        <v>1107</v>
      </c>
      <c r="H786" s="20" t="s">
        <v>916</v>
      </c>
      <c r="I786" s="6" t="s">
        <v>27</v>
      </c>
      <c r="J786" s="6" t="s">
        <v>1107</v>
      </c>
      <c r="M786" s="72" t="s">
        <v>1112</v>
      </c>
      <c r="N786" s="72" t="s">
        <v>9</v>
      </c>
      <c r="O786" s="70" t="s">
        <v>1111</v>
      </c>
      <c r="Q786" s="8"/>
      <c r="R786" s="8"/>
    </row>
    <row r="787" spans="1:18" x14ac:dyDescent="0.25">
      <c r="A787" s="87"/>
      <c r="B787" s="98"/>
      <c r="C787" s="95"/>
      <c r="D787" s="95"/>
      <c r="E787" s="95"/>
      <c r="F787" s="92"/>
      <c r="I787" t="s">
        <v>27</v>
      </c>
      <c r="J787" t="s">
        <v>916</v>
      </c>
      <c r="M787" s="83"/>
      <c r="N787" s="83"/>
      <c r="O787" s="82"/>
    </row>
    <row r="788" spans="1:18" x14ac:dyDescent="0.25">
      <c r="A788" s="87"/>
      <c r="B788" s="98"/>
      <c r="C788" s="95"/>
      <c r="D788" s="95"/>
      <c r="E788" s="95"/>
      <c r="F788" s="92"/>
      <c r="J788" t="s">
        <v>1109</v>
      </c>
      <c r="L788" t="s">
        <v>1110</v>
      </c>
      <c r="M788" s="83"/>
      <c r="N788" s="83"/>
      <c r="O788" s="82"/>
    </row>
    <row r="789" spans="1:18" x14ac:dyDescent="0.25">
      <c r="A789" s="81"/>
      <c r="B789" s="99"/>
      <c r="C789" s="96"/>
      <c r="D789" s="96"/>
      <c r="E789" s="96"/>
      <c r="F789" s="93"/>
      <c r="I789" t="s">
        <v>27</v>
      </c>
      <c r="J789" t="s">
        <v>1108</v>
      </c>
      <c r="M789" s="73"/>
      <c r="N789" s="73"/>
      <c r="O789" s="71"/>
    </row>
    <row r="790" spans="1:18" s="6" customFormat="1" x14ac:dyDescent="0.25">
      <c r="A790" s="80">
        <f>$A$2+204</f>
        <v>205</v>
      </c>
      <c r="B790" s="97">
        <v>26</v>
      </c>
      <c r="C790" s="94">
        <v>8</v>
      </c>
      <c r="D790" s="94">
        <v>1727</v>
      </c>
      <c r="E790" s="94">
        <f>F790-5</f>
        <v>399</v>
      </c>
      <c r="F790" s="91">
        <v>404</v>
      </c>
      <c r="G790" s="20" t="s">
        <v>1113</v>
      </c>
      <c r="H790" s="20" t="s">
        <v>916</v>
      </c>
      <c r="J790" s="6" t="s">
        <v>1113</v>
      </c>
      <c r="M790" s="72" t="s">
        <v>1112</v>
      </c>
      <c r="N790" s="72" t="s">
        <v>53</v>
      </c>
      <c r="O790" s="70" t="s">
        <v>1114</v>
      </c>
      <c r="Q790" s="8"/>
      <c r="R790" s="8"/>
    </row>
    <row r="791" spans="1:18" x14ac:dyDescent="0.25">
      <c r="A791" s="87"/>
      <c r="B791" s="98"/>
      <c r="C791" s="95"/>
      <c r="D791" s="95"/>
      <c r="E791" s="95"/>
      <c r="F791" s="92"/>
      <c r="J791" t="s">
        <v>916</v>
      </c>
      <c r="K791" t="s">
        <v>347</v>
      </c>
      <c r="M791" s="83"/>
      <c r="N791" s="83"/>
      <c r="O791" s="82"/>
    </row>
    <row r="792" spans="1:18" x14ac:dyDescent="0.25">
      <c r="A792" s="81"/>
      <c r="B792" s="99"/>
      <c r="C792" s="96"/>
      <c r="D792" s="96"/>
      <c r="E792" s="96"/>
      <c r="F792" s="93"/>
      <c r="J792" t="s">
        <v>1109</v>
      </c>
      <c r="L792" t="s">
        <v>1110</v>
      </c>
      <c r="M792" s="73"/>
      <c r="N792" s="73"/>
      <c r="O792" s="71"/>
    </row>
    <row r="793" spans="1:18" s="6" customFormat="1" x14ac:dyDescent="0.25">
      <c r="A793" s="80">
        <f>$A$2+205</f>
        <v>206</v>
      </c>
      <c r="B793" s="97">
        <v>26</v>
      </c>
      <c r="C793" s="94">
        <v>8</v>
      </c>
      <c r="D793" s="94">
        <v>1727</v>
      </c>
      <c r="E793" s="94">
        <f>F793-5</f>
        <v>400</v>
      </c>
      <c r="F793" s="91">
        <v>405</v>
      </c>
      <c r="G793" s="20" t="s">
        <v>843</v>
      </c>
      <c r="H793" s="20" t="s">
        <v>570</v>
      </c>
      <c r="I793" s="6" t="s">
        <v>103</v>
      </c>
      <c r="J793" s="6" t="s">
        <v>843</v>
      </c>
      <c r="M793" s="72" t="s">
        <v>13</v>
      </c>
      <c r="N793" s="72" t="s">
        <v>20</v>
      </c>
      <c r="O793" s="70" t="s">
        <v>1115</v>
      </c>
      <c r="Q793" s="8"/>
      <c r="R793" s="8"/>
    </row>
    <row r="794" spans="1:18" x14ac:dyDescent="0.25">
      <c r="A794" s="87"/>
      <c r="B794" s="98"/>
      <c r="C794" s="95"/>
      <c r="D794" s="95"/>
      <c r="E794" s="95"/>
      <c r="F794" s="92"/>
      <c r="I794" t="s">
        <v>27</v>
      </c>
      <c r="J794" t="s">
        <v>570</v>
      </c>
      <c r="M794" s="83"/>
      <c r="N794" s="83"/>
      <c r="O794" s="82"/>
    </row>
    <row r="795" spans="1:18" x14ac:dyDescent="0.25">
      <c r="A795" s="81"/>
      <c r="B795" s="99"/>
      <c r="C795" s="96"/>
      <c r="D795" s="96"/>
      <c r="E795" s="96"/>
      <c r="F795" s="93"/>
      <c r="J795" t="s">
        <v>916</v>
      </c>
      <c r="M795" s="73"/>
      <c r="N795" s="73"/>
      <c r="O795" s="71"/>
    </row>
    <row r="796" spans="1:18" s="6" customFormat="1" x14ac:dyDescent="0.25">
      <c r="A796" s="80">
        <f>$A$2+206</f>
        <v>207</v>
      </c>
      <c r="B796" s="97">
        <v>27</v>
      </c>
      <c r="C796" s="94">
        <v>8</v>
      </c>
      <c r="D796" s="94">
        <v>1727</v>
      </c>
      <c r="E796" s="94">
        <f>F796-5</f>
        <v>400</v>
      </c>
      <c r="F796" s="91">
        <v>405</v>
      </c>
      <c r="G796" s="20"/>
      <c r="H796" s="20"/>
      <c r="I796" s="6" t="s">
        <v>27</v>
      </c>
      <c r="J796" s="6" t="s">
        <v>1119</v>
      </c>
      <c r="M796" s="72" t="s">
        <v>594</v>
      </c>
      <c r="N796" s="72" t="s">
        <v>600</v>
      </c>
      <c r="O796" s="70"/>
      <c r="Q796" s="8"/>
      <c r="R796" s="8"/>
    </row>
    <row r="797" spans="1:18" x14ac:dyDescent="0.25">
      <c r="A797" s="87"/>
      <c r="B797" s="98"/>
      <c r="C797" s="95"/>
      <c r="D797" s="95"/>
      <c r="E797" s="95"/>
      <c r="F797" s="92"/>
      <c r="I797" t="s">
        <v>103</v>
      </c>
      <c r="J797" t="s">
        <v>1116</v>
      </c>
      <c r="K797" t="s">
        <v>1081</v>
      </c>
      <c r="M797" s="83"/>
      <c r="N797" s="83"/>
      <c r="O797" s="82"/>
    </row>
    <row r="798" spans="1:18" x14ac:dyDescent="0.25">
      <c r="A798" s="87"/>
      <c r="B798" s="98"/>
      <c r="C798" s="95"/>
      <c r="D798" s="95"/>
      <c r="E798" s="95"/>
      <c r="F798" s="92"/>
      <c r="I798" t="s">
        <v>103</v>
      </c>
      <c r="J798" t="s">
        <v>843</v>
      </c>
      <c r="K798" t="s">
        <v>1118</v>
      </c>
      <c r="M798" s="83"/>
      <c r="N798" s="83"/>
      <c r="O798" s="82"/>
    </row>
    <row r="799" spans="1:18" x14ac:dyDescent="0.25">
      <c r="A799" s="87"/>
      <c r="B799" s="98"/>
      <c r="C799" s="95"/>
      <c r="D799" s="95"/>
      <c r="E799" s="95"/>
      <c r="F799" s="92"/>
      <c r="I799" t="s">
        <v>103</v>
      </c>
      <c r="J799" t="s">
        <v>801</v>
      </c>
      <c r="K799" t="s">
        <v>1118</v>
      </c>
      <c r="M799" s="83"/>
      <c r="N799" s="83"/>
      <c r="O799" s="82"/>
    </row>
    <row r="800" spans="1:18" x14ac:dyDescent="0.25">
      <c r="A800" s="81"/>
      <c r="B800" s="99"/>
      <c r="C800" s="96"/>
      <c r="D800" s="96"/>
      <c r="E800" s="96"/>
      <c r="F800" s="93"/>
      <c r="I800" t="s">
        <v>103</v>
      </c>
      <c r="J800" t="s">
        <v>1117</v>
      </c>
      <c r="K800" t="s">
        <v>1118</v>
      </c>
      <c r="M800" s="73"/>
      <c r="N800" s="73"/>
      <c r="O800" s="71"/>
    </row>
    <row r="801" spans="1:18" s="6" customFormat="1" ht="15" customHeight="1" x14ac:dyDescent="0.25">
      <c r="A801" s="25">
        <f>$A$2+207</f>
        <v>208</v>
      </c>
      <c r="B801" s="4">
        <v>27</v>
      </c>
      <c r="C801" s="4">
        <v>8</v>
      </c>
      <c r="D801" s="4">
        <v>1727</v>
      </c>
      <c r="E801" s="4">
        <f>F801-5</f>
        <v>400</v>
      </c>
      <c r="F801" s="3">
        <v>405</v>
      </c>
      <c r="G801" s="20"/>
      <c r="H801" s="20"/>
      <c r="I801" s="6" t="s">
        <v>27</v>
      </c>
      <c r="J801" s="6" t="s">
        <v>1120</v>
      </c>
      <c r="M801" s="27" t="s">
        <v>1121</v>
      </c>
      <c r="N801" s="27" t="s">
        <v>984</v>
      </c>
      <c r="O801" s="35" t="s">
        <v>1122</v>
      </c>
      <c r="Q801" s="8"/>
      <c r="R801" s="8"/>
    </row>
    <row r="802" spans="1:18" s="6" customFormat="1" x14ac:dyDescent="0.25">
      <c r="A802" s="80">
        <f>$A$2+208</f>
        <v>209</v>
      </c>
      <c r="B802" s="97">
        <v>26</v>
      </c>
      <c r="C802" s="94">
        <v>9</v>
      </c>
      <c r="D802" s="94">
        <v>1727</v>
      </c>
      <c r="E802" s="94">
        <f>F802-5</f>
        <v>401</v>
      </c>
      <c r="F802" s="91">
        <v>406</v>
      </c>
      <c r="G802" s="20" t="s">
        <v>1123</v>
      </c>
      <c r="H802" s="20" t="s">
        <v>643</v>
      </c>
      <c r="J802" s="6" t="s">
        <v>1123</v>
      </c>
      <c r="K802" s="6" t="s">
        <v>1124</v>
      </c>
      <c r="M802" s="72" t="s">
        <v>159</v>
      </c>
      <c r="N802" s="72" t="s">
        <v>20</v>
      </c>
      <c r="O802" s="70" t="s">
        <v>1125</v>
      </c>
      <c r="Q802" s="8"/>
      <c r="R802" s="8"/>
    </row>
    <row r="803" spans="1:18" x14ac:dyDescent="0.25">
      <c r="A803" s="81"/>
      <c r="B803" s="99"/>
      <c r="C803" s="96"/>
      <c r="D803" s="96"/>
      <c r="E803" s="96"/>
      <c r="F803" s="93"/>
      <c r="I803" t="s">
        <v>103</v>
      </c>
      <c r="J803" t="s">
        <v>643</v>
      </c>
      <c r="M803" s="73"/>
      <c r="N803" s="73"/>
      <c r="O803" s="71"/>
    </row>
    <row r="804" spans="1:18" s="6" customFormat="1" x14ac:dyDescent="0.25">
      <c r="A804" s="80">
        <f>$A$2+209</f>
        <v>210</v>
      </c>
      <c r="B804" s="97">
        <v>26</v>
      </c>
      <c r="C804" s="94">
        <v>9</v>
      </c>
      <c r="D804" s="94">
        <v>1727</v>
      </c>
      <c r="E804" s="94">
        <f>F804-5</f>
        <v>401</v>
      </c>
      <c r="F804" s="91">
        <v>406</v>
      </c>
      <c r="G804" s="20" t="s">
        <v>1126</v>
      </c>
      <c r="H804" s="20" t="s">
        <v>1127</v>
      </c>
      <c r="I804" s="6" t="s">
        <v>27</v>
      </c>
      <c r="J804" s="6" t="s">
        <v>1126</v>
      </c>
      <c r="M804" s="72"/>
      <c r="N804" s="72" t="s">
        <v>344</v>
      </c>
      <c r="O804" s="70"/>
      <c r="Q804" s="8"/>
      <c r="R804" s="8"/>
    </row>
    <row r="805" spans="1:18" x14ac:dyDescent="0.25">
      <c r="A805" s="81"/>
      <c r="B805" s="99"/>
      <c r="C805" s="96"/>
      <c r="D805" s="96"/>
      <c r="E805" s="96"/>
      <c r="F805" s="93"/>
      <c r="I805" t="s">
        <v>339</v>
      </c>
      <c r="J805" t="s">
        <v>1127</v>
      </c>
      <c r="M805" s="73"/>
      <c r="N805" s="73"/>
      <c r="O805" s="71"/>
    </row>
    <row r="806" spans="1:18" s="6" customFormat="1" x14ac:dyDescent="0.25">
      <c r="A806" s="80">
        <f>$A$2+210</f>
        <v>211</v>
      </c>
      <c r="B806" s="97">
        <v>26</v>
      </c>
      <c r="C806" s="94">
        <v>9</v>
      </c>
      <c r="D806" s="94">
        <v>1727</v>
      </c>
      <c r="E806" s="94">
        <f>F806-5</f>
        <v>401</v>
      </c>
      <c r="F806" s="91">
        <v>406</v>
      </c>
      <c r="G806" s="20" t="s">
        <v>154</v>
      </c>
      <c r="H806" s="20" t="s">
        <v>121</v>
      </c>
      <c r="I806" s="6" t="s">
        <v>1051</v>
      </c>
      <c r="J806" s="6" t="s">
        <v>154</v>
      </c>
      <c r="L806" s="6" t="s">
        <v>187</v>
      </c>
      <c r="M806" s="72" t="s">
        <v>1128</v>
      </c>
      <c r="N806" s="72" t="s">
        <v>53</v>
      </c>
      <c r="O806" s="70" t="s">
        <v>1129</v>
      </c>
      <c r="Q806" s="8"/>
      <c r="R806" s="8"/>
    </row>
    <row r="807" spans="1:18" x14ac:dyDescent="0.25">
      <c r="A807" s="81"/>
      <c r="B807" s="99"/>
      <c r="C807" s="96"/>
      <c r="D807" s="96"/>
      <c r="E807" s="96"/>
      <c r="F807" s="93"/>
      <c r="I807" t="s">
        <v>103</v>
      </c>
      <c r="J807" t="s">
        <v>121</v>
      </c>
      <c r="L807" t="s">
        <v>187</v>
      </c>
      <c r="M807" s="73"/>
      <c r="N807" s="73"/>
      <c r="O807" s="71"/>
    </row>
    <row r="808" spans="1:18" s="6" customFormat="1" x14ac:dyDescent="0.25">
      <c r="A808" s="80">
        <f>$A$2+211</f>
        <v>212</v>
      </c>
      <c r="B808" s="97">
        <v>2</v>
      </c>
      <c r="C808" s="94">
        <v>10</v>
      </c>
      <c r="D808" s="94">
        <v>1727</v>
      </c>
      <c r="E808" s="94">
        <f>F808-5</f>
        <v>402</v>
      </c>
      <c r="F808" s="91">
        <v>407</v>
      </c>
      <c r="G808" s="20" t="s">
        <v>1133</v>
      </c>
      <c r="H808" s="20" t="s">
        <v>1132</v>
      </c>
      <c r="I808" s="6" t="s">
        <v>27</v>
      </c>
      <c r="J808" s="6" t="s">
        <v>1133</v>
      </c>
      <c r="M808" s="72" t="s">
        <v>667</v>
      </c>
      <c r="N808" s="72" t="s">
        <v>9</v>
      </c>
      <c r="O808" s="70" t="s">
        <v>1134</v>
      </c>
      <c r="Q808" s="8"/>
      <c r="R808" s="8"/>
    </row>
    <row r="809" spans="1:18" x14ac:dyDescent="0.25">
      <c r="A809" s="87"/>
      <c r="B809" s="98"/>
      <c r="C809" s="95"/>
      <c r="D809" s="95"/>
      <c r="E809" s="95"/>
      <c r="F809" s="92"/>
      <c r="J809" t="s">
        <v>1132</v>
      </c>
      <c r="M809" s="83"/>
      <c r="N809" s="83"/>
      <c r="O809" s="82"/>
    </row>
    <row r="810" spans="1:18" x14ac:dyDescent="0.25">
      <c r="A810" s="81"/>
      <c r="B810" s="99"/>
      <c r="C810" s="96"/>
      <c r="D810" s="96"/>
      <c r="E810" s="96"/>
      <c r="F810" s="93"/>
      <c r="I810" t="s">
        <v>27</v>
      </c>
      <c r="J810" t="s">
        <v>1035</v>
      </c>
      <c r="M810" s="73"/>
      <c r="N810" s="73"/>
      <c r="O810" s="71"/>
    </row>
    <row r="811" spans="1:18" s="6" customFormat="1" x14ac:dyDescent="0.25">
      <c r="A811" s="80">
        <f>$A$2+212</f>
        <v>213</v>
      </c>
      <c r="B811" s="97">
        <v>2</v>
      </c>
      <c r="C811" s="94">
        <v>10</v>
      </c>
      <c r="D811" s="94">
        <v>1727</v>
      </c>
      <c r="E811" s="94">
        <f>F811-5</f>
        <v>402</v>
      </c>
      <c r="F811" s="91">
        <v>407</v>
      </c>
      <c r="G811" s="20" t="s">
        <v>322</v>
      </c>
      <c r="H811" s="20" t="s">
        <v>1132</v>
      </c>
      <c r="J811" s="6" t="s">
        <v>322</v>
      </c>
      <c r="M811" s="72" t="s">
        <v>667</v>
      </c>
      <c r="N811" s="72" t="s">
        <v>53</v>
      </c>
      <c r="O811" s="70" t="s">
        <v>1138</v>
      </c>
      <c r="Q811" s="8"/>
      <c r="R811" s="8"/>
    </row>
    <row r="812" spans="1:18" x14ac:dyDescent="0.25">
      <c r="A812" s="87"/>
      <c r="B812" s="98"/>
      <c r="C812" s="95"/>
      <c r="D812" s="95"/>
      <c r="E812" s="95"/>
      <c r="F812" s="92"/>
      <c r="J812" t="s">
        <v>351</v>
      </c>
      <c r="L812" t="s">
        <v>1136</v>
      </c>
      <c r="M812" s="83"/>
      <c r="N812" s="83"/>
      <c r="O812" s="82"/>
      <c r="P812" t="s">
        <v>1137</v>
      </c>
    </row>
    <row r="813" spans="1:18" x14ac:dyDescent="0.25">
      <c r="A813" s="81"/>
      <c r="B813" s="99"/>
      <c r="C813" s="96"/>
      <c r="D813" s="96"/>
      <c r="E813" s="96"/>
      <c r="F813" s="93"/>
      <c r="J813" t="s">
        <v>1132</v>
      </c>
      <c r="L813" t="s">
        <v>1135</v>
      </c>
      <c r="M813" s="73"/>
      <c r="N813" s="73"/>
      <c r="O813" s="71"/>
    </row>
    <row r="814" spans="1:18" s="6" customFormat="1" ht="15" customHeight="1" x14ac:dyDescent="0.25">
      <c r="A814" s="25">
        <f>$A$2+213</f>
        <v>214</v>
      </c>
      <c r="B814" s="4">
        <v>29</v>
      </c>
      <c r="C814" s="4">
        <v>10</v>
      </c>
      <c r="D814" s="4">
        <v>1727</v>
      </c>
      <c r="E814" s="4">
        <f>F814-5</f>
        <v>403</v>
      </c>
      <c r="F814" s="3">
        <v>408</v>
      </c>
      <c r="G814" s="20" t="s">
        <v>1139</v>
      </c>
      <c r="H814" s="20" t="s">
        <v>1140</v>
      </c>
      <c r="M814" s="27" t="s">
        <v>1141</v>
      </c>
      <c r="N814" s="27" t="s">
        <v>20</v>
      </c>
      <c r="O814" s="35" t="s">
        <v>1146</v>
      </c>
      <c r="Q814" s="8"/>
      <c r="R814" s="8"/>
    </row>
    <row r="815" spans="1:18" s="6" customFormat="1" ht="15" customHeight="1" x14ac:dyDescent="0.25">
      <c r="A815" s="80">
        <f>$A$2+214</f>
        <v>215</v>
      </c>
      <c r="B815" s="97">
        <v>7</v>
      </c>
      <c r="C815" s="94">
        <v>1</v>
      </c>
      <c r="D815" s="94">
        <v>1728</v>
      </c>
      <c r="E815" s="94">
        <f>F815-5</f>
        <v>403</v>
      </c>
      <c r="F815" s="91">
        <v>408</v>
      </c>
      <c r="G815" s="20"/>
      <c r="H815" s="20"/>
      <c r="I815" s="6" t="s">
        <v>1131</v>
      </c>
      <c r="J815" s="6" t="s">
        <v>813</v>
      </c>
      <c r="K815" s="6" t="s">
        <v>814</v>
      </c>
      <c r="L815" s="6" t="s">
        <v>187</v>
      </c>
      <c r="M815" s="72" t="s">
        <v>812</v>
      </c>
      <c r="N815" s="72" t="s">
        <v>811</v>
      </c>
      <c r="O815" s="70"/>
      <c r="Q815" s="8"/>
      <c r="R815" s="8"/>
    </row>
    <row r="816" spans="1:18" x14ac:dyDescent="0.25">
      <c r="A816" s="87"/>
      <c r="B816" s="98"/>
      <c r="C816" s="95"/>
      <c r="D816" s="95"/>
      <c r="E816" s="95"/>
      <c r="F816" s="92"/>
      <c r="I816" t="s">
        <v>103</v>
      </c>
      <c r="J816" t="s">
        <v>1142</v>
      </c>
      <c r="K816" t="s">
        <v>1143</v>
      </c>
      <c r="L816" t="s">
        <v>928</v>
      </c>
      <c r="M816" s="83"/>
      <c r="N816" s="83"/>
      <c r="O816" s="82"/>
    </row>
    <row r="817" spans="1:18" x14ac:dyDescent="0.25">
      <c r="A817" s="87"/>
      <c r="B817" s="98"/>
      <c r="C817" s="95"/>
      <c r="D817" s="95"/>
      <c r="E817" s="95"/>
      <c r="F817" s="92"/>
      <c r="I817" t="s">
        <v>103</v>
      </c>
      <c r="J817" t="s">
        <v>695</v>
      </c>
      <c r="K817" t="s">
        <v>1143</v>
      </c>
      <c r="L817" t="s">
        <v>928</v>
      </c>
      <c r="M817" s="83"/>
      <c r="N817" s="83"/>
      <c r="O817" s="82"/>
    </row>
    <row r="818" spans="1:18" x14ac:dyDescent="0.25">
      <c r="A818" s="87"/>
      <c r="B818" s="98"/>
      <c r="C818" s="95"/>
      <c r="D818" s="95"/>
      <c r="E818" s="95"/>
      <c r="F818" s="92"/>
      <c r="I818" t="s">
        <v>103</v>
      </c>
      <c r="J818" t="s">
        <v>75</v>
      </c>
      <c r="K818" t="s">
        <v>1143</v>
      </c>
      <c r="L818" t="s">
        <v>483</v>
      </c>
      <c r="M818" s="83"/>
      <c r="N818" s="83"/>
      <c r="O818" s="82"/>
    </row>
    <row r="819" spans="1:18" x14ac:dyDescent="0.25">
      <c r="A819" s="81"/>
      <c r="B819" s="99"/>
      <c r="C819" s="96"/>
      <c r="D819" s="96"/>
      <c r="E819" s="96"/>
      <c r="F819" s="93"/>
      <c r="I819" t="s">
        <v>103</v>
      </c>
      <c r="J819" t="s">
        <v>17</v>
      </c>
      <c r="K819" t="s">
        <v>1143</v>
      </c>
      <c r="L819" t="s">
        <v>483</v>
      </c>
      <c r="M819" s="73"/>
      <c r="N819" s="73"/>
      <c r="O819" s="71"/>
    </row>
    <row r="820" spans="1:18" s="6" customFormat="1" ht="17.25" customHeight="1" x14ac:dyDescent="0.25">
      <c r="A820" s="39">
        <f>$A$2+215</f>
        <v>216</v>
      </c>
      <c r="B820" s="38">
        <v>7</v>
      </c>
      <c r="C820" s="38">
        <v>1</v>
      </c>
      <c r="D820" s="38">
        <v>1728</v>
      </c>
      <c r="E820" s="38">
        <f>F820-5</f>
        <v>404</v>
      </c>
      <c r="F820" s="37">
        <v>409</v>
      </c>
      <c r="G820" s="20" t="s">
        <v>1144</v>
      </c>
      <c r="H820" s="20" t="s">
        <v>1145</v>
      </c>
      <c r="M820" s="36" t="s">
        <v>1141</v>
      </c>
      <c r="N820" s="36" t="s">
        <v>53</v>
      </c>
      <c r="O820" s="35" t="s">
        <v>1147</v>
      </c>
      <c r="Q820" s="8"/>
      <c r="R820" s="8"/>
    </row>
    <row r="821" spans="1:18" s="6" customFormat="1" x14ac:dyDescent="0.25">
      <c r="A821" s="80">
        <f>$A$2+216</f>
        <v>217</v>
      </c>
      <c r="B821" s="97">
        <v>14</v>
      </c>
      <c r="C821" s="94">
        <v>1</v>
      </c>
      <c r="D821" s="94">
        <v>1728</v>
      </c>
      <c r="E821" s="94">
        <f>F821-5</f>
        <v>405</v>
      </c>
      <c r="F821" s="91">
        <v>410</v>
      </c>
      <c r="G821" s="20"/>
      <c r="H821" s="20"/>
      <c r="I821" s="6" t="s">
        <v>103</v>
      </c>
      <c r="J821" s="6" t="s">
        <v>947</v>
      </c>
      <c r="K821" s="6" t="s">
        <v>1148</v>
      </c>
      <c r="L821" s="6" t="s">
        <v>1153</v>
      </c>
      <c r="M821" s="72" t="s">
        <v>523</v>
      </c>
      <c r="N821" s="72" t="s">
        <v>821</v>
      </c>
      <c r="O821" s="70"/>
      <c r="Q821" s="8"/>
      <c r="R821" s="8"/>
    </row>
    <row r="822" spans="1:18" x14ac:dyDescent="0.25">
      <c r="A822" s="87"/>
      <c r="B822" s="98"/>
      <c r="C822" s="95"/>
      <c r="D822" s="95"/>
      <c r="E822" s="95"/>
      <c r="F822" s="92"/>
      <c r="I822" t="s">
        <v>27</v>
      </c>
      <c r="J822" t="s">
        <v>950</v>
      </c>
      <c r="K822" t="s">
        <v>1149</v>
      </c>
      <c r="L822" t="s">
        <v>1153</v>
      </c>
      <c r="M822" s="83"/>
      <c r="N822" s="83"/>
      <c r="O822" s="82"/>
    </row>
    <row r="823" spans="1:18" x14ac:dyDescent="0.25">
      <c r="A823" s="87"/>
      <c r="B823" s="98"/>
      <c r="C823" s="95"/>
      <c r="D823" s="95"/>
      <c r="E823" s="95"/>
      <c r="F823" s="92"/>
      <c r="I823" t="s">
        <v>27</v>
      </c>
      <c r="J823" t="s">
        <v>703</v>
      </c>
      <c r="K823" t="s">
        <v>1150</v>
      </c>
      <c r="L823" t="s">
        <v>1153</v>
      </c>
      <c r="M823" s="83"/>
      <c r="N823" s="83"/>
      <c r="O823" s="82"/>
    </row>
    <row r="824" spans="1:18" x14ac:dyDescent="0.25">
      <c r="A824" s="87"/>
      <c r="B824" s="98"/>
      <c r="C824" s="95"/>
      <c r="D824" s="95"/>
      <c r="E824" s="95"/>
      <c r="F824" s="92"/>
      <c r="I824" t="s">
        <v>27</v>
      </c>
      <c r="J824" t="s">
        <v>596</v>
      </c>
      <c r="K824" t="s">
        <v>1151</v>
      </c>
      <c r="L824" t="s">
        <v>1153</v>
      </c>
      <c r="M824" s="83"/>
      <c r="N824" s="83"/>
      <c r="O824" s="82"/>
    </row>
    <row r="825" spans="1:18" x14ac:dyDescent="0.25">
      <c r="A825" s="87"/>
      <c r="B825" s="98"/>
      <c r="C825" s="95"/>
      <c r="D825" s="95"/>
      <c r="E825" s="95"/>
      <c r="F825" s="92"/>
      <c r="I825" t="s">
        <v>27</v>
      </c>
      <c r="J825" t="s">
        <v>511</v>
      </c>
      <c r="K825" t="s">
        <v>827</v>
      </c>
      <c r="L825" t="s">
        <v>1153</v>
      </c>
      <c r="M825" s="83"/>
      <c r="N825" s="83"/>
      <c r="O825" s="82"/>
    </row>
    <row r="826" spans="1:18" x14ac:dyDescent="0.25">
      <c r="A826" s="87"/>
      <c r="B826" s="98"/>
      <c r="C826" s="95"/>
      <c r="D826" s="95"/>
      <c r="E826" s="95"/>
      <c r="F826" s="92"/>
      <c r="I826" t="s">
        <v>27</v>
      </c>
      <c r="J826" t="s">
        <v>513</v>
      </c>
      <c r="K826" t="s">
        <v>1152</v>
      </c>
      <c r="L826" t="s">
        <v>1153</v>
      </c>
      <c r="M826" s="83"/>
      <c r="N826" s="83"/>
      <c r="O826" s="82"/>
    </row>
    <row r="827" spans="1:18" x14ac:dyDescent="0.25">
      <c r="A827" s="87"/>
      <c r="B827" s="98"/>
      <c r="C827" s="95"/>
      <c r="D827" s="95"/>
      <c r="E827" s="95"/>
      <c r="F827" s="92"/>
      <c r="I827" t="s">
        <v>27</v>
      </c>
      <c r="J827" t="s">
        <v>858</v>
      </c>
      <c r="K827" t="s">
        <v>1154</v>
      </c>
      <c r="L827" t="s">
        <v>1153</v>
      </c>
      <c r="M827" s="83"/>
      <c r="N827" s="83"/>
      <c r="O827" s="82"/>
    </row>
    <row r="828" spans="1:18" x14ac:dyDescent="0.25">
      <c r="A828" s="87"/>
      <c r="B828" s="98"/>
      <c r="C828" s="95"/>
      <c r="D828" s="95"/>
      <c r="E828" s="95"/>
      <c r="F828" s="92"/>
      <c r="I828" t="s">
        <v>27</v>
      </c>
      <c r="J828" t="s">
        <v>249</v>
      </c>
      <c r="K828" t="s">
        <v>1155</v>
      </c>
      <c r="L828" t="s">
        <v>1153</v>
      </c>
      <c r="M828" s="83"/>
      <c r="N828" s="83"/>
      <c r="O828" s="82"/>
    </row>
    <row r="829" spans="1:18" x14ac:dyDescent="0.25">
      <c r="A829" s="87"/>
      <c r="B829" s="98"/>
      <c r="C829" s="95"/>
      <c r="D829" s="95"/>
      <c r="E829" s="95"/>
      <c r="F829" s="92"/>
      <c r="I829" t="s">
        <v>27</v>
      </c>
      <c r="J829" t="s">
        <v>857</v>
      </c>
      <c r="K829" t="s">
        <v>1156</v>
      </c>
      <c r="L829" t="s">
        <v>1153</v>
      </c>
      <c r="M829" s="83"/>
      <c r="N829" s="83"/>
      <c r="O829" s="82"/>
    </row>
    <row r="830" spans="1:18" x14ac:dyDescent="0.25">
      <c r="A830" s="87"/>
      <c r="B830" s="98"/>
      <c r="C830" s="95"/>
      <c r="D830" s="95"/>
      <c r="E830" s="95"/>
      <c r="F830" s="92"/>
      <c r="I830" t="s">
        <v>27</v>
      </c>
      <c r="J830" t="s">
        <v>836</v>
      </c>
      <c r="K830" t="s">
        <v>1157</v>
      </c>
      <c r="L830" t="s">
        <v>1153</v>
      </c>
      <c r="M830" s="83"/>
      <c r="N830" s="83"/>
      <c r="O830" s="82"/>
    </row>
    <row r="831" spans="1:18" x14ac:dyDescent="0.25">
      <c r="A831" s="87"/>
      <c r="B831" s="98"/>
      <c r="C831" s="95"/>
      <c r="D831" s="95"/>
      <c r="E831" s="95"/>
      <c r="F831" s="92"/>
      <c r="I831" t="s">
        <v>27</v>
      </c>
      <c r="J831" t="s">
        <v>519</v>
      </c>
      <c r="K831" t="s">
        <v>1158</v>
      </c>
      <c r="L831" t="s">
        <v>1153</v>
      </c>
      <c r="M831" s="83"/>
      <c r="N831" s="83"/>
      <c r="O831" s="82"/>
    </row>
    <row r="832" spans="1:18" x14ac:dyDescent="0.25">
      <c r="A832" s="81"/>
      <c r="B832" s="99"/>
      <c r="C832" s="96"/>
      <c r="D832" s="96"/>
      <c r="E832" s="96"/>
      <c r="F832" s="93"/>
      <c r="I832" t="s">
        <v>27</v>
      </c>
      <c r="J832" t="s">
        <v>521</v>
      </c>
      <c r="K832" t="s">
        <v>1159</v>
      </c>
      <c r="L832" t="s">
        <v>1153</v>
      </c>
      <c r="M832" s="73"/>
      <c r="N832" s="73"/>
      <c r="O832" s="71"/>
    </row>
    <row r="833" spans="1:18" s="6" customFormat="1" x14ac:dyDescent="0.25">
      <c r="A833" s="80">
        <f>$A$2+217</f>
        <v>218</v>
      </c>
      <c r="B833" s="97">
        <v>15</v>
      </c>
      <c r="C833" s="94">
        <v>1</v>
      </c>
      <c r="D833" s="94">
        <v>1728</v>
      </c>
      <c r="E833" s="94">
        <f>F833-5</f>
        <v>405</v>
      </c>
      <c r="F833" s="91">
        <v>410</v>
      </c>
      <c r="G833" s="20"/>
      <c r="H833" s="20"/>
      <c r="I833" s="6" t="s">
        <v>27</v>
      </c>
      <c r="J833" s="6" t="s">
        <v>93</v>
      </c>
      <c r="M833" s="72" t="s">
        <v>13</v>
      </c>
      <c r="N833" s="72" t="s">
        <v>20</v>
      </c>
      <c r="O833" s="70" t="s">
        <v>1169</v>
      </c>
      <c r="Q833" s="8"/>
      <c r="R833" s="8"/>
    </row>
    <row r="834" spans="1:18" x14ac:dyDescent="0.25">
      <c r="A834" s="87"/>
      <c r="B834" s="98"/>
      <c r="C834" s="95"/>
      <c r="D834" s="95"/>
      <c r="E834" s="95"/>
      <c r="F834" s="92"/>
      <c r="I834" t="s">
        <v>27</v>
      </c>
      <c r="J834" t="s">
        <v>249</v>
      </c>
      <c r="M834" s="83"/>
      <c r="N834" s="83"/>
      <c r="O834" s="82"/>
    </row>
    <row r="835" spans="1:18" x14ac:dyDescent="0.25">
      <c r="A835" s="87"/>
      <c r="B835" s="98"/>
      <c r="C835" s="95"/>
      <c r="D835" s="95"/>
      <c r="E835" s="95"/>
      <c r="F835" s="92"/>
      <c r="I835" t="s">
        <v>27</v>
      </c>
      <c r="J835" t="s">
        <v>1161</v>
      </c>
      <c r="K835" t="s">
        <v>1162</v>
      </c>
      <c r="M835" s="83"/>
      <c r="N835" s="83"/>
      <c r="O835" s="82"/>
    </row>
    <row r="836" spans="1:18" x14ac:dyDescent="0.25">
      <c r="A836" s="87"/>
      <c r="B836" s="98"/>
      <c r="C836" s="95"/>
      <c r="D836" s="95"/>
      <c r="E836" s="95"/>
      <c r="F836" s="92"/>
      <c r="J836" t="s">
        <v>1163</v>
      </c>
      <c r="K836" t="s">
        <v>1164</v>
      </c>
      <c r="M836" s="83"/>
      <c r="N836" s="83"/>
      <c r="O836" s="82"/>
    </row>
    <row r="837" spans="1:18" x14ac:dyDescent="0.25">
      <c r="A837" s="81"/>
      <c r="B837" s="99"/>
      <c r="C837" s="96"/>
      <c r="D837" s="96"/>
      <c r="E837" s="96"/>
      <c r="F837" s="93"/>
      <c r="J837" t="s">
        <v>1165</v>
      </c>
      <c r="K837" t="s">
        <v>1166</v>
      </c>
      <c r="L837" t="s">
        <v>1167</v>
      </c>
      <c r="M837" s="73"/>
      <c r="N837" s="73"/>
      <c r="O837" s="71"/>
      <c r="P837" t="s">
        <v>1168</v>
      </c>
    </row>
    <row r="838" spans="1:18" s="6" customFormat="1" ht="14.25" customHeight="1" x14ac:dyDescent="0.25">
      <c r="A838" s="80">
        <f>$A$2+218</f>
        <v>219</v>
      </c>
      <c r="B838" s="97">
        <v>15</v>
      </c>
      <c r="C838" s="94">
        <v>2</v>
      </c>
      <c r="D838" s="94">
        <v>1728</v>
      </c>
      <c r="E838" s="94">
        <f>F838-5</f>
        <v>406</v>
      </c>
      <c r="F838" s="91">
        <v>411</v>
      </c>
      <c r="G838" s="20" t="s">
        <v>457</v>
      </c>
      <c r="H838" s="20" t="s">
        <v>773</v>
      </c>
      <c r="I838" s="6" t="s">
        <v>103</v>
      </c>
      <c r="J838" s="6" t="s">
        <v>457</v>
      </c>
      <c r="K838" s="6" t="s">
        <v>1081</v>
      </c>
      <c r="M838" s="72" t="s">
        <v>13</v>
      </c>
      <c r="N838" s="72" t="s">
        <v>20</v>
      </c>
      <c r="O838" s="70" t="s">
        <v>1171</v>
      </c>
      <c r="Q838" s="8"/>
      <c r="R838" s="8"/>
    </row>
    <row r="839" spans="1:18" x14ac:dyDescent="0.25">
      <c r="A839" s="87"/>
      <c r="B839" s="98"/>
      <c r="C839" s="95"/>
      <c r="D839" s="95"/>
      <c r="E839" s="95"/>
      <c r="F839" s="92"/>
      <c r="I839" t="s">
        <v>103</v>
      </c>
      <c r="J839" t="s">
        <v>773</v>
      </c>
      <c r="M839" s="83"/>
      <c r="N839" s="83"/>
      <c r="O839" s="82"/>
      <c r="P839" t="s">
        <v>1170</v>
      </c>
    </row>
    <row r="840" spans="1:18" x14ac:dyDescent="0.25">
      <c r="A840" s="81"/>
      <c r="B840" s="99"/>
      <c r="C840" s="96"/>
      <c r="D840" s="96"/>
      <c r="E840" s="96"/>
      <c r="F840" s="93"/>
      <c r="J840" t="s">
        <v>458</v>
      </c>
      <c r="K840" t="s">
        <v>815</v>
      </c>
      <c r="M840" s="73"/>
      <c r="N840" s="73"/>
      <c r="O840" s="71"/>
    </row>
    <row r="841" spans="1:18" s="6" customFormat="1" x14ac:dyDescent="0.25">
      <c r="A841" s="80">
        <f>$A$2+219</f>
        <v>220</v>
      </c>
      <c r="B841" s="97">
        <v>19</v>
      </c>
      <c r="C841" s="94">
        <v>4</v>
      </c>
      <c r="D841" s="94">
        <v>1728</v>
      </c>
      <c r="E841" s="94">
        <f>F841-5</f>
        <v>406</v>
      </c>
      <c r="F841" s="91">
        <v>411</v>
      </c>
      <c r="G841" s="20" t="s">
        <v>801</v>
      </c>
      <c r="H841" s="20" t="s">
        <v>457</v>
      </c>
      <c r="I841" s="6" t="s">
        <v>103</v>
      </c>
      <c r="J841" s="6" t="s">
        <v>801</v>
      </c>
      <c r="K841" s="6" t="s">
        <v>1118</v>
      </c>
      <c r="L841" s="6" t="s">
        <v>1172</v>
      </c>
      <c r="M841" s="72" t="s">
        <v>1173</v>
      </c>
      <c r="N841" s="72" t="s">
        <v>20</v>
      </c>
      <c r="O841" s="70" t="s">
        <v>1174</v>
      </c>
      <c r="P841" s="6" t="s">
        <v>1175</v>
      </c>
      <c r="Q841" s="8"/>
      <c r="R841" s="8"/>
    </row>
    <row r="842" spans="1:18" x14ac:dyDescent="0.25">
      <c r="A842" s="81"/>
      <c r="B842" s="99"/>
      <c r="C842" s="96"/>
      <c r="D842" s="96"/>
      <c r="E842" s="96"/>
      <c r="F842" s="93"/>
      <c r="I842" t="s">
        <v>103</v>
      </c>
      <c r="J842" t="s">
        <v>457</v>
      </c>
      <c r="K842" t="s">
        <v>1118</v>
      </c>
      <c r="M842" s="73"/>
      <c r="N842" s="73"/>
      <c r="O842" s="71"/>
    </row>
    <row r="843" spans="1:18" s="6" customFormat="1" x14ac:dyDescent="0.25">
      <c r="A843" s="80">
        <f>$A$2+220</f>
        <v>221</v>
      </c>
      <c r="B843" s="97">
        <v>25</v>
      </c>
      <c r="C843" s="94">
        <v>4</v>
      </c>
      <c r="D843" s="94">
        <v>1728</v>
      </c>
      <c r="E843" s="94">
        <f>F843-5</f>
        <v>407</v>
      </c>
      <c r="F843" s="91">
        <v>412</v>
      </c>
      <c r="G843" s="20" t="s">
        <v>338</v>
      </c>
      <c r="H843" s="20" t="s">
        <v>493</v>
      </c>
      <c r="J843" s="6" t="s">
        <v>493</v>
      </c>
      <c r="M843" s="72"/>
      <c r="N843" s="72" t="s">
        <v>344</v>
      </c>
      <c r="O843" s="70"/>
      <c r="Q843" s="8"/>
      <c r="R843" s="8"/>
    </row>
    <row r="844" spans="1:18" x14ac:dyDescent="0.25">
      <c r="A844" s="81"/>
      <c r="B844" s="99"/>
      <c r="C844" s="96"/>
      <c r="D844" s="96"/>
      <c r="E844" s="96"/>
      <c r="F844" s="93"/>
      <c r="I844" t="s">
        <v>27</v>
      </c>
      <c r="J844" t="s">
        <v>338</v>
      </c>
      <c r="M844" s="73"/>
      <c r="N844" s="73"/>
      <c r="O844" s="71"/>
    </row>
    <row r="845" spans="1:18" s="6" customFormat="1" x14ac:dyDescent="0.25">
      <c r="A845" s="80">
        <f>$A$2+221</f>
        <v>222</v>
      </c>
      <c r="B845" s="97">
        <v>25</v>
      </c>
      <c r="C845" s="94">
        <v>4</v>
      </c>
      <c r="D845" s="94">
        <v>1728</v>
      </c>
      <c r="E845" s="94">
        <f>F845-5</f>
        <v>407</v>
      </c>
      <c r="F845" s="91">
        <v>412</v>
      </c>
      <c r="G845" s="20"/>
      <c r="H845" s="20"/>
      <c r="J845" s="6" t="s">
        <v>1177</v>
      </c>
      <c r="M845" s="72" t="s">
        <v>1180</v>
      </c>
      <c r="N845" s="72" t="s">
        <v>1176</v>
      </c>
      <c r="O845" s="70" t="s">
        <v>1181</v>
      </c>
      <c r="P845" s="6" t="s">
        <v>1182</v>
      </c>
      <c r="Q845" s="8"/>
      <c r="R845" s="8"/>
    </row>
    <row r="846" spans="1:18" x14ac:dyDescent="0.25">
      <c r="A846" s="87"/>
      <c r="B846" s="98"/>
      <c r="C846" s="95"/>
      <c r="D846" s="95"/>
      <c r="E846" s="95"/>
      <c r="F846" s="92"/>
      <c r="J846" t="s">
        <v>1178</v>
      </c>
      <c r="M846" s="83"/>
      <c r="N846" s="83"/>
      <c r="O846" s="82"/>
    </row>
    <row r="847" spans="1:18" x14ac:dyDescent="0.25">
      <c r="A847" s="87"/>
      <c r="B847" s="98"/>
      <c r="C847" s="95"/>
      <c r="D847" s="95"/>
      <c r="E847" s="95"/>
      <c r="F847" s="92"/>
      <c r="J847" t="s">
        <v>533</v>
      </c>
      <c r="L847" t="s">
        <v>1179</v>
      </c>
      <c r="M847" s="83"/>
      <c r="N847" s="83"/>
      <c r="O847" s="82"/>
    </row>
    <row r="848" spans="1:18" x14ac:dyDescent="0.25">
      <c r="A848" s="87"/>
      <c r="B848" s="98"/>
      <c r="C848" s="95"/>
      <c r="D848" s="95"/>
      <c r="E848" s="95"/>
      <c r="F848" s="92"/>
      <c r="J848" t="s">
        <v>1183</v>
      </c>
      <c r="L848" t="s">
        <v>187</v>
      </c>
      <c r="M848" s="83"/>
      <c r="N848" s="83"/>
      <c r="O848" s="82"/>
    </row>
    <row r="849" spans="1:18" x14ac:dyDescent="0.25">
      <c r="A849" s="81"/>
      <c r="B849" s="99"/>
      <c r="C849" s="96"/>
      <c r="D849" s="96"/>
      <c r="E849" s="96"/>
      <c r="F849" s="93"/>
      <c r="J849" t="s">
        <v>1184</v>
      </c>
      <c r="L849" t="s">
        <v>187</v>
      </c>
      <c r="M849" s="73"/>
      <c r="N849" s="73"/>
      <c r="O849" s="71"/>
    </row>
    <row r="850" spans="1:18" s="6" customFormat="1" x14ac:dyDescent="0.25">
      <c r="A850" s="80">
        <f>$A$2+222</f>
        <v>223</v>
      </c>
      <c r="B850" s="97">
        <v>25</v>
      </c>
      <c r="C850" s="94">
        <v>4</v>
      </c>
      <c r="D850" s="94">
        <v>1728</v>
      </c>
      <c r="E850" s="94">
        <f>F850-5</f>
        <v>409</v>
      </c>
      <c r="F850" s="91">
        <v>414</v>
      </c>
      <c r="G850" s="20" t="s">
        <v>1185</v>
      </c>
      <c r="H850" s="20" t="s">
        <v>1186</v>
      </c>
      <c r="I850" s="6" t="s">
        <v>27</v>
      </c>
      <c r="J850" s="6" t="s">
        <v>1186</v>
      </c>
      <c r="M850" s="72" t="s">
        <v>13</v>
      </c>
      <c r="N850" s="72" t="s">
        <v>20</v>
      </c>
      <c r="O850" s="70" t="s">
        <v>1193</v>
      </c>
      <c r="P850" s="6" t="s">
        <v>1192</v>
      </c>
      <c r="Q850" s="8"/>
      <c r="R850" s="8"/>
    </row>
    <row r="851" spans="1:18" x14ac:dyDescent="0.25">
      <c r="A851" s="87"/>
      <c r="B851" s="98"/>
      <c r="C851" s="95"/>
      <c r="D851" s="95"/>
      <c r="E851" s="95"/>
      <c r="F851" s="92"/>
      <c r="J851" t="s">
        <v>916</v>
      </c>
      <c r="K851" t="s">
        <v>1191</v>
      </c>
      <c r="L851" t="s">
        <v>1190</v>
      </c>
      <c r="M851" s="83"/>
      <c r="N851" s="83"/>
      <c r="O851" s="82"/>
    </row>
    <row r="852" spans="1:18" x14ac:dyDescent="0.25">
      <c r="A852" s="81"/>
      <c r="B852" s="99"/>
      <c r="C852" s="96"/>
      <c r="D852" s="96"/>
      <c r="E852" s="96"/>
      <c r="F852" s="93"/>
      <c r="J852" t="s">
        <v>458</v>
      </c>
      <c r="K852" t="s">
        <v>1187</v>
      </c>
      <c r="L852" t="s">
        <v>1188</v>
      </c>
      <c r="M852" s="73"/>
      <c r="N852" s="73"/>
      <c r="O852" s="71"/>
      <c r="P852" t="s">
        <v>1189</v>
      </c>
    </row>
    <row r="853" spans="1:18" s="6" customFormat="1" x14ac:dyDescent="0.25">
      <c r="A853" s="80">
        <f>$A$2+223</f>
        <v>224</v>
      </c>
      <c r="B853" s="97">
        <v>24</v>
      </c>
      <c r="C853" s="94">
        <v>7</v>
      </c>
      <c r="D853" s="94">
        <v>1728</v>
      </c>
      <c r="E853" s="94">
        <f>F853-5</f>
        <v>410</v>
      </c>
      <c r="F853" s="91">
        <v>415</v>
      </c>
      <c r="G853" s="20" t="s">
        <v>17</v>
      </c>
      <c r="H853" s="20" t="s">
        <v>643</v>
      </c>
      <c r="I853" s="6" t="s">
        <v>103</v>
      </c>
      <c r="J853" s="6" t="s">
        <v>17</v>
      </c>
      <c r="K853" s="6" t="s">
        <v>1194</v>
      </c>
      <c r="M853" s="72" t="s">
        <v>1230</v>
      </c>
      <c r="N853" s="72" t="s">
        <v>20</v>
      </c>
      <c r="O853" s="70" t="s">
        <v>1200</v>
      </c>
      <c r="Q853" s="8"/>
      <c r="R853" s="8"/>
    </row>
    <row r="854" spans="1:18" x14ac:dyDescent="0.25">
      <c r="A854" s="87"/>
      <c r="B854" s="98"/>
      <c r="C854" s="95"/>
      <c r="D854" s="95"/>
      <c r="E854" s="95"/>
      <c r="F854" s="92"/>
      <c r="I854" t="s">
        <v>103</v>
      </c>
      <c r="J854" t="s">
        <v>643</v>
      </c>
      <c r="K854" t="s">
        <v>1195</v>
      </c>
      <c r="M854" s="83"/>
      <c r="N854" s="83"/>
      <c r="O854" s="82"/>
    </row>
    <row r="855" spans="1:18" x14ac:dyDescent="0.25">
      <c r="A855" s="87"/>
      <c r="B855" s="98"/>
      <c r="C855" s="95"/>
      <c r="D855" s="95"/>
      <c r="E855" s="95"/>
      <c r="F855" s="92"/>
      <c r="J855" t="s">
        <v>458</v>
      </c>
      <c r="K855" t="s">
        <v>1196</v>
      </c>
      <c r="M855" s="83"/>
      <c r="N855" s="83"/>
      <c r="O855" s="82"/>
    </row>
    <row r="856" spans="1:18" x14ac:dyDescent="0.25">
      <c r="A856" s="87"/>
      <c r="B856" s="98"/>
      <c r="C856" s="95"/>
      <c r="D856" s="95"/>
      <c r="E856" s="95"/>
      <c r="F856" s="92"/>
      <c r="J856" t="s">
        <v>1197</v>
      </c>
      <c r="M856" s="83"/>
      <c r="N856" s="83"/>
      <c r="O856" s="82"/>
    </row>
    <row r="857" spans="1:18" x14ac:dyDescent="0.25">
      <c r="A857" s="81"/>
      <c r="B857" s="99"/>
      <c r="C857" s="96"/>
      <c r="D857" s="96"/>
      <c r="E857" s="96"/>
      <c r="F857" s="93"/>
      <c r="J857" t="s">
        <v>1198</v>
      </c>
      <c r="L857" t="s">
        <v>1199</v>
      </c>
      <c r="M857" s="73"/>
      <c r="N857" s="73"/>
      <c r="O857" s="71"/>
    </row>
    <row r="858" spans="1:18" s="6" customFormat="1" x14ac:dyDescent="0.25">
      <c r="A858" s="80">
        <f>$A$2+224</f>
        <v>225</v>
      </c>
      <c r="B858" s="97">
        <v>23</v>
      </c>
      <c r="C858" s="94">
        <v>7</v>
      </c>
      <c r="D858" s="94">
        <v>1728</v>
      </c>
      <c r="E858" s="94">
        <f>F858-5</f>
        <v>410</v>
      </c>
      <c r="F858" s="91">
        <v>415</v>
      </c>
      <c r="G858" s="20" t="s">
        <v>643</v>
      </c>
      <c r="H858" s="20" t="s">
        <v>17</v>
      </c>
      <c r="I858" s="6" t="s">
        <v>103</v>
      </c>
      <c r="J858" s="6" t="s">
        <v>17</v>
      </c>
      <c r="M858" s="72"/>
      <c r="N858" s="72" t="s">
        <v>344</v>
      </c>
      <c r="O858" s="70"/>
      <c r="Q858" s="8"/>
      <c r="R858" s="8"/>
    </row>
    <row r="859" spans="1:18" x14ac:dyDescent="0.25">
      <c r="A859" s="81"/>
      <c r="B859" s="99"/>
      <c r="C859" s="96"/>
      <c r="D859" s="96"/>
      <c r="E859" s="96"/>
      <c r="F859" s="93"/>
      <c r="I859" t="s">
        <v>103</v>
      </c>
      <c r="J859" t="s">
        <v>643</v>
      </c>
      <c r="K859" t="s">
        <v>585</v>
      </c>
      <c r="M859" s="73"/>
      <c r="N859" s="73"/>
      <c r="O859" s="71"/>
    </row>
    <row r="860" spans="1:18" s="6" customFormat="1" x14ac:dyDescent="0.25">
      <c r="A860" s="80">
        <f>$A$2+225</f>
        <v>226</v>
      </c>
      <c r="B860" s="97">
        <v>5</v>
      </c>
      <c r="C860" s="94">
        <v>8</v>
      </c>
      <c r="D860" s="94">
        <v>1728</v>
      </c>
      <c r="E860" s="94">
        <f>F860-5</f>
        <v>410</v>
      </c>
      <c r="F860" s="91">
        <v>415</v>
      </c>
      <c r="G860" s="20" t="s">
        <v>908</v>
      </c>
      <c r="H860" s="20"/>
      <c r="I860" s="6" t="s">
        <v>27</v>
      </c>
      <c r="J860" s="6" t="s">
        <v>908</v>
      </c>
      <c r="M860" s="72" t="s">
        <v>244</v>
      </c>
      <c r="N860" s="72" t="s">
        <v>9</v>
      </c>
      <c r="O860" s="70" t="s">
        <v>1203</v>
      </c>
      <c r="Q860" s="8"/>
      <c r="R860" s="8"/>
    </row>
    <row r="861" spans="1:18" x14ac:dyDescent="0.25">
      <c r="A861" s="87"/>
      <c r="B861" s="98"/>
      <c r="C861" s="95"/>
      <c r="D861" s="95"/>
      <c r="E861" s="95"/>
      <c r="F861" s="92"/>
      <c r="I861" t="s">
        <v>29</v>
      </c>
      <c r="J861" t="s">
        <v>1201</v>
      </c>
      <c r="L861" t="s">
        <v>1202</v>
      </c>
      <c r="M861" s="83"/>
      <c r="N861" s="83"/>
      <c r="O861" s="82"/>
    </row>
    <row r="862" spans="1:18" x14ac:dyDescent="0.25">
      <c r="A862" s="87"/>
      <c r="B862" s="98"/>
      <c r="C862" s="95"/>
      <c r="D862" s="95"/>
      <c r="E862" s="95"/>
      <c r="F862" s="92"/>
      <c r="J862" t="s">
        <v>298</v>
      </c>
      <c r="M862" s="83"/>
      <c r="N862" s="83"/>
      <c r="O862" s="82"/>
    </row>
    <row r="863" spans="1:18" x14ac:dyDescent="0.25">
      <c r="A863" s="81"/>
      <c r="B863" s="99"/>
      <c r="C863" s="96"/>
      <c r="D863" s="96"/>
      <c r="E863" s="96"/>
      <c r="F863" s="93"/>
      <c r="J863" t="s">
        <v>75</v>
      </c>
      <c r="M863" s="73"/>
      <c r="N863" s="73"/>
      <c r="O863" s="71"/>
    </row>
    <row r="864" spans="1:18" s="6" customFormat="1" x14ac:dyDescent="0.25">
      <c r="A864" s="80">
        <f>$A$2+226</f>
        <v>227</v>
      </c>
      <c r="B864" s="97">
        <v>27</v>
      </c>
      <c r="C864" s="94">
        <v>8</v>
      </c>
      <c r="D864" s="94">
        <v>1728</v>
      </c>
      <c r="E864" s="94">
        <f>F864-5</f>
        <v>411</v>
      </c>
      <c r="F864" s="91">
        <v>416</v>
      </c>
      <c r="G864" s="20" t="s">
        <v>298</v>
      </c>
      <c r="H864" s="20" t="s">
        <v>1204</v>
      </c>
      <c r="J864" s="6" t="s">
        <v>298</v>
      </c>
      <c r="M864" s="72" t="s">
        <v>244</v>
      </c>
      <c r="N864" s="72" t="s">
        <v>53</v>
      </c>
      <c r="O864" s="70" t="s">
        <v>1207</v>
      </c>
      <c r="Q864" s="8"/>
      <c r="R864" s="8"/>
    </row>
    <row r="865" spans="1:18" x14ac:dyDescent="0.25">
      <c r="A865" s="87"/>
      <c r="B865" s="98"/>
      <c r="C865" s="95"/>
      <c r="D865" s="95"/>
      <c r="E865" s="95"/>
      <c r="F865" s="92"/>
      <c r="G865" s="18" t="s">
        <v>256</v>
      </c>
      <c r="J865" t="s">
        <v>256</v>
      </c>
      <c r="M865" s="83"/>
      <c r="N865" s="83"/>
      <c r="O865" s="82"/>
    </row>
    <row r="866" spans="1:18" x14ac:dyDescent="0.25">
      <c r="A866" s="87"/>
      <c r="B866" s="98"/>
      <c r="C866" s="95"/>
      <c r="D866" s="95"/>
      <c r="E866" s="95"/>
      <c r="F866" s="92"/>
      <c r="J866" t="s">
        <v>1204</v>
      </c>
      <c r="M866" s="83"/>
      <c r="N866" s="83"/>
      <c r="O866" s="82"/>
      <c r="P866" t="s">
        <v>1208</v>
      </c>
    </row>
    <row r="867" spans="1:18" x14ac:dyDescent="0.25">
      <c r="A867" s="81"/>
      <c r="B867" s="99"/>
      <c r="C867" s="96"/>
      <c r="D867" s="96"/>
      <c r="E867" s="96"/>
      <c r="F867" s="93"/>
      <c r="J867" t="s">
        <v>1205</v>
      </c>
      <c r="L867" t="s">
        <v>1206</v>
      </c>
      <c r="M867" s="73"/>
      <c r="N867" s="73"/>
      <c r="O867" s="71"/>
    </row>
    <row r="868" spans="1:18" s="6" customFormat="1" x14ac:dyDescent="0.25">
      <c r="A868" s="80">
        <f>$A$2+227</f>
        <v>228</v>
      </c>
      <c r="B868" s="97">
        <v>27</v>
      </c>
      <c r="C868" s="94">
        <v>8</v>
      </c>
      <c r="D868" s="94">
        <v>1728</v>
      </c>
      <c r="E868" s="94">
        <f>F868-5</f>
        <v>411</v>
      </c>
      <c r="F868" s="91">
        <v>416</v>
      </c>
      <c r="G868" s="20" t="s">
        <v>1209</v>
      </c>
      <c r="H868" s="20" t="s">
        <v>317</v>
      </c>
      <c r="I868" s="6" t="s">
        <v>31</v>
      </c>
      <c r="J868" s="6" t="s">
        <v>1209</v>
      </c>
      <c r="M868" s="72" t="s">
        <v>238</v>
      </c>
      <c r="N868" s="72" t="s">
        <v>20</v>
      </c>
      <c r="O868" s="70" t="s">
        <v>1210</v>
      </c>
      <c r="Q868" s="8"/>
      <c r="R868" s="8"/>
    </row>
    <row r="869" spans="1:18" x14ac:dyDescent="0.25">
      <c r="A869" s="87"/>
      <c r="B869" s="98"/>
      <c r="C869" s="95"/>
      <c r="D869" s="95"/>
      <c r="E869" s="95"/>
      <c r="F869" s="92"/>
      <c r="H869" s="18" t="s">
        <v>281</v>
      </c>
      <c r="I869" t="s">
        <v>27</v>
      </c>
      <c r="J869" t="s">
        <v>317</v>
      </c>
      <c r="M869" s="83"/>
      <c r="N869" s="83"/>
      <c r="O869" s="82"/>
    </row>
    <row r="870" spans="1:18" x14ac:dyDescent="0.25">
      <c r="A870" s="81"/>
      <c r="B870" s="99"/>
      <c r="C870" s="96"/>
      <c r="D870" s="96"/>
      <c r="E870" s="96"/>
      <c r="F870" s="93"/>
      <c r="J870" t="s">
        <v>281</v>
      </c>
      <c r="M870" s="73"/>
      <c r="N870" s="73"/>
      <c r="O870" s="71"/>
    </row>
    <row r="871" spans="1:18" s="6" customFormat="1" x14ac:dyDescent="0.25">
      <c r="A871" s="80">
        <f>$A$2+228</f>
        <v>229</v>
      </c>
      <c r="B871" s="97">
        <v>3</v>
      </c>
      <c r="C871" s="94">
        <v>9</v>
      </c>
      <c r="D871" s="94">
        <v>1728</v>
      </c>
      <c r="E871" s="94">
        <f>F871-5</f>
        <v>411</v>
      </c>
      <c r="F871" s="91">
        <v>416</v>
      </c>
      <c r="G871" s="20" t="s">
        <v>1211</v>
      </c>
      <c r="H871" s="20" t="s">
        <v>1197</v>
      </c>
      <c r="I871" s="6" t="s">
        <v>103</v>
      </c>
      <c r="J871" s="6" t="s">
        <v>1211</v>
      </c>
      <c r="M871" s="72" t="s">
        <v>244</v>
      </c>
      <c r="N871" s="72" t="s">
        <v>9</v>
      </c>
      <c r="O871" s="70" t="s">
        <v>1212</v>
      </c>
      <c r="Q871" s="8"/>
      <c r="R871" s="8"/>
    </row>
    <row r="872" spans="1:18" x14ac:dyDescent="0.25">
      <c r="A872" s="87"/>
      <c r="B872" s="98"/>
      <c r="C872" s="95"/>
      <c r="D872" s="95"/>
      <c r="E872" s="95"/>
      <c r="F872" s="92"/>
      <c r="I872" t="s">
        <v>27</v>
      </c>
      <c r="J872" t="s">
        <v>1197</v>
      </c>
      <c r="M872" s="83"/>
      <c r="N872" s="83"/>
      <c r="O872" s="82"/>
    </row>
    <row r="873" spans="1:18" x14ac:dyDescent="0.25">
      <c r="A873" s="87"/>
      <c r="B873" s="98"/>
      <c r="C873" s="95"/>
      <c r="D873" s="95"/>
      <c r="E873" s="95"/>
      <c r="F873" s="92"/>
      <c r="I873" t="s">
        <v>27</v>
      </c>
      <c r="J873" t="s">
        <v>37</v>
      </c>
      <c r="M873" s="83"/>
      <c r="N873" s="83"/>
      <c r="O873" s="82"/>
    </row>
    <row r="874" spans="1:18" x14ac:dyDescent="0.25">
      <c r="A874" s="81"/>
      <c r="B874" s="99"/>
      <c r="C874" s="96"/>
      <c r="D874" s="96"/>
      <c r="E874" s="96"/>
      <c r="F874" s="93"/>
      <c r="I874" t="s">
        <v>27</v>
      </c>
      <c r="J874" t="s">
        <v>256</v>
      </c>
      <c r="M874" s="73"/>
      <c r="N874" s="73"/>
      <c r="O874" s="71"/>
    </row>
    <row r="875" spans="1:18" s="6" customFormat="1" x14ac:dyDescent="0.25">
      <c r="A875" s="80">
        <f>$A$2+229</f>
        <v>230</v>
      </c>
      <c r="B875" s="97">
        <v>3</v>
      </c>
      <c r="C875" s="94">
        <v>9</v>
      </c>
      <c r="D875" s="94">
        <v>1728</v>
      </c>
      <c r="E875" s="94">
        <f>F875-5</f>
        <v>412</v>
      </c>
      <c r="F875" s="91">
        <v>417</v>
      </c>
      <c r="G875" s="20"/>
      <c r="H875" s="20"/>
      <c r="J875" s="6" t="s">
        <v>1213</v>
      </c>
      <c r="M875" s="72" t="s">
        <v>655</v>
      </c>
      <c r="N875" s="72" t="s">
        <v>53</v>
      </c>
      <c r="O875" s="70" t="s">
        <v>1218</v>
      </c>
      <c r="Q875" s="8"/>
      <c r="R875" s="8"/>
    </row>
    <row r="876" spans="1:18" x14ac:dyDescent="0.25">
      <c r="A876" s="87"/>
      <c r="B876" s="98"/>
      <c r="C876" s="95"/>
      <c r="D876" s="95"/>
      <c r="E876" s="95"/>
      <c r="F876" s="92"/>
      <c r="J876" t="s">
        <v>458</v>
      </c>
      <c r="L876" t="s">
        <v>1214</v>
      </c>
      <c r="M876" s="83"/>
      <c r="N876" s="83"/>
      <c r="O876" s="82"/>
      <c r="P876" t="s">
        <v>1217</v>
      </c>
    </row>
    <row r="877" spans="1:18" x14ac:dyDescent="0.25">
      <c r="A877" s="81"/>
      <c r="B877" s="99"/>
      <c r="C877" s="96"/>
      <c r="D877" s="96"/>
      <c r="E877" s="96"/>
      <c r="F877" s="93"/>
      <c r="J877" t="s">
        <v>1215</v>
      </c>
      <c r="L877" t="s">
        <v>1216</v>
      </c>
      <c r="M877" s="73"/>
      <c r="N877" s="73"/>
      <c r="O877" s="71"/>
    </row>
    <row r="878" spans="1:18" s="6" customFormat="1" x14ac:dyDescent="0.25">
      <c r="A878" s="80">
        <f>$A$2+230</f>
        <v>231</v>
      </c>
      <c r="B878" s="97">
        <v>4</v>
      </c>
      <c r="C878" s="94">
        <v>9</v>
      </c>
      <c r="D878" s="94">
        <v>1728</v>
      </c>
      <c r="E878" s="94">
        <f>F878-5</f>
        <v>412</v>
      </c>
      <c r="F878" s="91">
        <v>417</v>
      </c>
      <c r="G878" s="20" t="s">
        <v>1211</v>
      </c>
      <c r="H878" s="20"/>
      <c r="I878" s="6" t="s">
        <v>103</v>
      </c>
      <c r="J878" s="6" t="s">
        <v>1211</v>
      </c>
      <c r="M878" s="72" t="s">
        <v>244</v>
      </c>
      <c r="N878" s="72" t="s">
        <v>9</v>
      </c>
      <c r="O878" s="70" t="s">
        <v>1221</v>
      </c>
      <c r="Q878" s="8"/>
      <c r="R878" s="8"/>
    </row>
    <row r="879" spans="1:18" x14ac:dyDescent="0.25">
      <c r="A879" s="87"/>
      <c r="B879" s="98"/>
      <c r="C879" s="95"/>
      <c r="D879" s="95"/>
      <c r="E879" s="95"/>
      <c r="F879" s="92"/>
      <c r="I879" t="s">
        <v>31</v>
      </c>
      <c r="J879" t="s">
        <v>1219</v>
      </c>
      <c r="M879" s="83"/>
      <c r="N879" s="83"/>
      <c r="O879" s="82"/>
    </row>
    <row r="880" spans="1:18" x14ac:dyDescent="0.25">
      <c r="A880" s="87"/>
      <c r="B880" s="98"/>
      <c r="C880" s="95"/>
      <c r="D880" s="95"/>
      <c r="E880" s="95"/>
      <c r="F880" s="92"/>
      <c r="J880" t="s">
        <v>601</v>
      </c>
      <c r="M880" s="83"/>
      <c r="N880" s="83"/>
      <c r="O880" s="82"/>
    </row>
    <row r="881" spans="1:18" x14ac:dyDescent="0.25">
      <c r="A881" s="87"/>
      <c r="B881" s="98"/>
      <c r="C881" s="95"/>
      <c r="D881" s="95"/>
      <c r="E881" s="95"/>
      <c r="F881" s="92"/>
      <c r="J881" t="s">
        <v>1197</v>
      </c>
      <c r="M881" s="83"/>
      <c r="N881" s="83"/>
      <c r="O881" s="82"/>
    </row>
    <row r="882" spans="1:18" x14ac:dyDescent="0.25">
      <c r="A882" s="81"/>
      <c r="B882" s="99"/>
      <c r="C882" s="96"/>
      <c r="D882" s="96"/>
      <c r="E882" s="96"/>
      <c r="F882" s="93"/>
      <c r="J882" t="s">
        <v>458</v>
      </c>
      <c r="L882" t="s">
        <v>1220</v>
      </c>
      <c r="M882" s="73"/>
      <c r="N882" s="73"/>
      <c r="O882" s="71"/>
    </row>
    <row r="883" spans="1:18" s="6" customFormat="1" x14ac:dyDescent="0.25">
      <c r="A883" s="80">
        <f>$A$2+231</f>
        <v>232</v>
      </c>
      <c r="B883" s="97">
        <v>4</v>
      </c>
      <c r="C883" s="94">
        <v>9</v>
      </c>
      <c r="D883" s="94">
        <v>1728</v>
      </c>
      <c r="E883" s="94">
        <f>F883-5</f>
        <v>412</v>
      </c>
      <c r="F883" s="91">
        <v>417</v>
      </c>
      <c r="G883" s="20" t="s">
        <v>695</v>
      </c>
      <c r="H883" s="20" t="s">
        <v>1197</v>
      </c>
      <c r="I883" s="6" t="s">
        <v>103</v>
      </c>
      <c r="J883" s="6" t="s">
        <v>695</v>
      </c>
      <c r="M883" s="72" t="s">
        <v>244</v>
      </c>
      <c r="N883" s="72" t="s">
        <v>53</v>
      </c>
      <c r="O883" s="70" t="s">
        <v>1222</v>
      </c>
      <c r="Q883" s="8"/>
      <c r="R883" s="8"/>
    </row>
    <row r="884" spans="1:18" x14ac:dyDescent="0.25">
      <c r="A884" s="81"/>
      <c r="B884" s="99"/>
      <c r="C884" s="96"/>
      <c r="D884" s="96"/>
      <c r="E884" s="96"/>
      <c r="F884" s="93"/>
      <c r="J884" t="s">
        <v>1197</v>
      </c>
      <c r="M884" s="73"/>
      <c r="N884" s="73"/>
      <c r="O884" s="71"/>
    </row>
    <row r="885" spans="1:18" s="6" customFormat="1" x14ac:dyDescent="0.25">
      <c r="A885" s="80">
        <f>$A$2+232</f>
        <v>233</v>
      </c>
      <c r="B885" s="97">
        <v>4</v>
      </c>
      <c r="C885" s="94">
        <v>9</v>
      </c>
      <c r="D885" s="94">
        <v>1728</v>
      </c>
      <c r="E885" s="94">
        <f>F885-5</f>
        <v>413</v>
      </c>
      <c r="F885" s="91">
        <v>418</v>
      </c>
      <c r="G885" s="20" t="s">
        <v>447</v>
      </c>
      <c r="H885" s="20" t="s">
        <v>1223</v>
      </c>
      <c r="I885" s="6" t="s">
        <v>27</v>
      </c>
      <c r="J885" s="6" t="s">
        <v>447</v>
      </c>
      <c r="M885" s="72" t="s">
        <v>232</v>
      </c>
      <c r="N885" s="72" t="s">
        <v>20</v>
      </c>
      <c r="O885" s="70" t="s">
        <v>1225</v>
      </c>
      <c r="Q885" s="8"/>
      <c r="R885" s="8"/>
    </row>
    <row r="886" spans="1:18" x14ac:dyDescent="0.25">
      <c r="A886" s="87"/>
      <c r="B886" s="98"/>
      <c r="C886" s="95"/>
      <c r="D886" s="95"/>
      <c r="E886" s="95"/>
      <c r="F886" s="92"/>
      <c r="I886" t="s">
        <v>27</v>
      </c>
      <c r="J886" t="s">
        <v>1223</v>
      </c>
      <c r="K886" t="s">
        <v>585</v>
      </c>
      <c r="M886" s="83"/>
      <c r="N886" s="83"/>
      <c r="O886" s="82"/>
    </row>
    <row r="887" spans="1:18" x14ac:dyDescent="0.25">
      <c r="A887" s="81"/>
      <c r="B887" s="99"/>
      <c r="C887" s="96"/>
      <c r="D887" s="96"/>
      <c r="E887" s="96"/>
      <c r="F887" s="93"/>
      <c r="I887" t="s">
        <v>103</v>
      </c>
      <c r="J887" t="s">
        <v>458</v>
      </c>
      <c r="K887" t="s">
        <v>1224</v>
      </c>
      <c r="M887" s="73"/>
      <c r="N887" s="73"/>
      <c r="O887" s="71"/>
    </row>
    <row r="888" spans="1:18" s="6" customFormat="1" x14ac:dyDescent="0.25">
      <c r="A888" s="80">
        <f>$A$2+233</f>
        <v>234</v>
      </c>
      <c r="B888" s="97">
        <v>17</v>
      </c>
      <c r="C888" s="94">
        <v>9</v>
      </c>
      <c r="D888" s="94">
        <v>1728</v>
      </c>
      <c r="E888" s="94">
        <f>F888-5</f>
        <v>413</v>
      </c>
      <c r="F888" s="91">
        <v>418</v>
      </c>
      <c r="G888" s="20" t="s">
        <v>121</v>
      </c>
      <c r="H888" s="20" t="s">
        <v>17</v>
      </c>
      <c r="I888" s="6" t="s">
        <v>103</v>
      </c>
      <c r="J888" s="6" t="s">
        <v>121</v>
      </c>
      <c r="M888" s="72" t="s">
        <v>206</v>
      </c>
      <c r="N888" s="72" t="s">
        <v>53</v>
      </c>
      <c r="O888" s="70" t="s">
        <v>1227</v>
      </c>
      <c r="Q888" s="8"/>
      <c r="R888" s="8"/>
    </row>
    <row r="889" spans="1:18" x14ac:dyDescent="0.25">
      <c r="A889" s="81"/>
      <c r="B889" s="99"/>
      <c r="C889" s="96"/>
      <c r="D889" s="96"/>
      <c r="E889" s="96"/>
      <c r="F889" s="93"/>
      <c r="I889" t="s">
        <v>103</v>
      </c>
      <c r="J889" t="s">
        <v>17</v>
      </c>
      <c r="K889" t="s">
        <v>815</v>
      </c>
      <c r="M889" s="73"/>
      <c r="N889" s="73"/>
      <c r="O889" s="71"/>
      <c r="P889" t="s">
        <v>1226</v>
      </c>
    </row>
    <row r="890" spans="1:18" s="6" customFormat="1" x14ac:dyDescent="0.25">
      <c r="A890" s="80">
        <f>$A$2+234</f>
        <v>235</v>
      </c>
      <c r="B890" s="97">
        <v>17</v>
      </c>
      <c r="C890" s="94">
        <v>9</v>
      </c>
      <c r="D890" s="94">
        <v>1728</v>
      </c>
      <c r="E890" s="94">
        <f>F890-5</f>
        <v>414</v>
      </c>
      <c r="F890" s="91">
        <v>419</v>
      </c>
      <c r="G890" s="20"/>
      <c r="H890" s="20"/>
      <c r="I890" s="6" t="s">
        <v>27</v>
      </c>
      <c r="J890" s="6" t="s">
        <v>447</v>
      </c>
      <c r="K890" s="6" t="s">
        <v>1081</v>
      </c>
      <c r="M890" s="72" t="s">
        <v>1230</v>
      </c>
      <c r="N890" s="72" t="s">
        <v>20</v>
      </c>
      <c r="O890" s="70" t="s">
        <v>1229</v>
      </c>
      <c r="Q890" s="8"/>
      <c r="R890" s="8"/>
    </row>
    <row r="891" spans="1:18" x14ac:dyDescent="0.25">
      <c r="A891" s="81"/>
      <c r="B891" s="99"/>
      <c r="C891" s="96"/>
      <c r="D891" s="96"/>
      <c r="E891" s="96"/>
      <c r="F891" s="93"/>
      <c r="J891" t="s">
        <v>458</v>
      </c>
      <c r="M891" s="73"/>
      <c r="N891" s="73"/>
      <c r="O891" s="71"/>
      <c r="P891" t="s">
        <v>1228</v>
      </c>
    </row>
    <row r="892" spans="1:18" s="6" customFormat="1" x14ac:dyDescent="0.25">
      <c r="A892" s="80">
        <f>$A$2+235</f>
        <v>236</v>
      </c>
      <c r="B892" s="97">
        <v>20</v>
      </c>
      <c r="C892" s="94">
        <v>10</v>
      </c>
      <c r="D892" s="94">
        <v>1728</v>
      </c>
      <c r="E892" s="94">
        <f>F892-5</f>
        <v>414</v>
      </c>
      <c r="F892" s="91">
        <v>419</v>
      </c>
      <c r="G892" s="20" t="s">
        <v>1062</v>
      </c>
      <c r="H892" s="20" t="s">
        <v>758</v>
      </c>
      <c r="I892" s="6" t="s">
        <v>27</v>
      </c>
      <c r="J892" s="6" t="s">
        <v>1062</v>
      </c>
      <c r="M892" s="72" t="s">
        <v>1240</v>
      </c>
      <c r="N892" s="72" t="s">
        <v>9</v>
      </c>
      <c r="O892" s="70" t="s">
        <v>1241</v>
      </c>
      <c r="Q892" s="8"/>
      <c r="R892" s="8"/>
    </row>
    <row r="893" spans="1:18" x14ac:dyDescent="0.25">
      <c r="A893" s="87"/>
      <c r="B893" s="98"/>
      <c r="C893" s="95"/>
      <c r="D893" s="95"/>
      <c r="E893" s="95"/>
      <c r="F893" s="92"/>
      <c r="I893" t="s">
        <v>27</v>
      </c>
      <c r="J893" t="s">
        <v>758</v>
      </c>
      <c r="M893" s="83"/>
      <c r="N893" s="83"/>
      <c r="O893" s="82"/>
    </row>
    <row r="894" spans="1:18" x14ac:dyDescent="0.25">
      <c r="A894" s="87"/>
      <c r="B894" s="98"/>
      <c r="C894" s="95"/>
      <c r="D894" s="95"/>
      <c r="E894" s="95"/>
      <c r="F894" s="92"/>
      <c r="J894" t="s">
        <v>1232</v>
      </c>
      <c r="L894" t="s">
        <v>1233</v>
      </c>
      <c r="M894" s="83"/>
      <c r="N894" s="83"/>
      <c r="O894" s="82"/>
      <c r="P894" t="s">
        <v>1238</v>
      </c>
    </row>
    <row r="895" spans="1:18" x14ac:dyDescent="0.25">
      <c r="A895" s="87"/>
      <c r="B895" s="98"/>
      <c r="C895" s="95"/>
      <c r="D895" s="95"/>
      <c r="E895" s="95"/>
      <c r="F895" s="92"/>
      <c r="I895" t="s">
        <v>27</v>
      </c>
      <c r="J895" t="s">
        <v>1231</v>
      </c>
      <c r="M895" s="83"/>
      <c r="N895" s="83"/>
      <c r="O895" s="82"/>
      <c r="P895" t="s">
        <v>1239</v>
      </c>
    </row>
    <row r="896" spans="1:18" x14ac:dyDescent="0.25">
      <c r="A896" s="87"/>
      <c r="B896" s="98"/>
      <c r="C896" s="95"/>
      <c r="D896" s="95"/>
      <c r="E896" s="95"/>
      <c r="F896" s="92"/>
      <c r="J896" t="s">
        <v>1236</v>
      </c>
      <c r="L896" t="s">
        <v>1237</v>
      </c>
      <c r="M896" s="83"/>
      <c r="N896" s="83"/>
      <c r="O896" s="82"/>
    </row>
    <row r="897" spans="1:18" x14ac:dyDescent="0.25">
      <c r="A897" s="81"/>
      <c r="B897" s="99"/>
      <c r="C897" s="96"/>
      <c r="D897" s="96"/>
      <c r="E897" s="96"/>
      <c r="F897" s="93"/>
      <c r="J897" t="s">
        <v>1234</v>
      </c>
      <c r="L897" t="s">
        <v>1235</v>
      </c>
      <c r="M897" s="73"/>
      <c r="N897" s="73"/>
      <c r="O897" s="71"/>
    </row>
    <row r="898" spans="1:18" s="6" customFormat="1" x14ac:dyDescent="0.25">
      <c r="A898" s="80">
        <f>$A$2+236</f>
        <v>237</v>
      </c>
      <c r="B898" s="97">
        <v>20</v>
      </c>
      <c r="C898" s="94">
        <v>10</v>
      </c>
      <c r="D898" s="94">
        <v>1728</v>
      </c>
      <c r="E898" s="94">
        <f>F898-5</f>
        <v>415</v>
      </c>
      <c r="F898" s="91">
        <v>420</v>
      </c>
      <c r="G898" s="20" t="s">
        <v>1232</v>
      </c>
      <c r="H898" s="20" t="s">
        <v>1062</v>
      </c>
      <c r="J898" s="6" t="s">
        <v>1232</v>
      </c>
      <c r="M898" s="72" t="s">
        <v>527</v>
      </c>
      <c r="N898" s="72" t="s">
        <v>53</v>
      </c>
      <c r="O898" s="70" t="s">
        <v>1245</v>
      </c>
      <c r="Q898" s="8"/>
      <c r="R898" s="8"/>
    </row>
    <row r="899" spans="1:18" x14ac:dyDescent="0.25">
      <c r="A899" s="87"/>
      <c r="B899" s="98"/>
      <c r="C899" s="95"/>
      <c r="D899" s="95"/>
      <c r="E899" s="95"/>
      <c r="F899" s="92"/>
      <c r="J899" t="s">
        <v>758</v>
      </c>
      <c r="L899" t="s">
        <v>1242</v>
      </c>
      <c r="M899" s="83"/>
      <c r="N899" s="83"/>
      <c r="O899" s="82"/>
    </row>
    <row r="900" spans="1:18" x14ac:dyDescent="0.25">
      <c r="A900" s="81"/>
      <c r="B900" s="99"/>
      <c r="C900" s="96"/>
      <c r="D900" s="96"/>
      <c r="E900" s="96"/>
      <c r="F900" s="93"/>
      <c r="J900" t="s">
        <v>1062</v>
      </c>
      <c r="M900" s="73"/>
      <c r="N900" s="73"/>
      <c r="O900" s="71"/>
    </row>
    <row r="901" spans="1:18" s="6" customFormat="1" x14ac:dyDescent="0.25">
      <c r="A901" s="80">
        <f>$A$2+237</f>
        <v>238</v>
      </c>
      <c r="B901" s="97">
        <v>3</v>
      </c>
      <c r="C901" s="94">
        <v>11</v>
      </c>
      <c r="D901" s="94">
        <v>1728</v>
      </c>
      <c r="E901" s="94">
        <f>F901-5</f>
        <v>415</v>
      </c>
      <c r="F901" s="91">
        <v>420</v>
      </c>
      <c r="G901" s="20" t="s">
        <v>1243</v>
      </c>
      <c r="H901" s="20" t="s">
        <v>1244</v>
      </c>
      <c r="I901" s="6" t="s">
        <v>27</v>
      </c>
      <c r="J901" s="6" t="s">
        <v>1243</v>
      </c>
      <c r="L901" s="6" t="s">
        <v>1247</v>
      </c>
      <c r="M901" s="72" t="s">
        <v>855</v>
      </c>
      <c r="N901" s="72" t="s">
        <v>20</v>
      </c>
      <c r="O901" s="70" t="s">
        <v>1249</v>
      </c>
      <c r="Q901" s="8"/>
      <c r="R901" s="8"/>
    </row>
    <row r="902" spans="1:18" x14ac:dyDescent="0.25">
      <c r="A902" s="87"/>
      <c r="B902" s="98"/>
      <c r="C902" s="95"/>
      <c r="D902" s="95"/>
      <c r="E902" s="95"/>
      <c r="F902" s="92"/>
      <c r="I902" t="s">
        <v>27</v>
      </c>
      <c r="J902" t="s">
        <v>1244</v>
      </c>
      <c r="M902" s="83"/>
      <c r="N902" s="83"/>
      <c r="O902" s="82"/>
      <c r="P902" t="s">
        <v>1248</v>
      </c>
    </row>
    <row r="903" spans="1:18" x14ac:dyDescent="0.25">
      <c r="A903" s="81"/>
      <c r="B903" s="99"/>
      <c r="C903" s="96"/>
      <c r="D903" s="96"/>
      <c r="E903" s="96"/>
      <c r="F903" s="93"/>
      <c r="J903" t="s">
        <v>458</v>
      </c>
      <c r="L903" t="s">
        <v>1246</v>
      </c>
      <c r="M903" s="73"/>
      <c r="N903" s="73"/>
      <c r="O903" s="71"/>
    </row>
    <row r="904" spans="1:18" s="6" customFormat="1" x14ac:dyDescent="0.25">
      <c r="A904" s="80">
        <f>$A$2+238</f>
        <v>239</v>
      </c>
      <c r="B904" s="97">
        <v>3</v>
      </c>
      <c r="C904" s="94">
        <v>11</v>
      </c>
      <c r="D904" s="94">
        <v>1728</v>
      </c>
      <c r="E904" s="94">
        <f>F904-5</f>
        <v>416</v>
      </c>
      <c r="F904" s="91">
        <v>421</v>
      </c>
      <c r="G904" s="20" t="s">
        <v>1250</v>
      </c>
      <c r="H904" s="20" t="s">
        <v>1243</v>
      </c>
      <c r="I904" s="6" t="s">
        <v>27</v>
      </c>
      <c r="J904" s="6" t="s">
        <v>1250</v>
      </c>
      <c r="M904" s="72" t="s">
        <v>232</v>
      </c>
      <c r="N904" s="72" t="s">
        <v>20</v>
      </c>
      <c r="O904" s="70" t="s">
        <v>1257</v>
      </c>
      <c r="Q904" s="8"/>
      <c r="R904" s="8"/>
    </row>
    <row r="905" spans="1:18" x14ac:dyDescent="0.25">
      <c r="A905" s="87"/>
      <c r="B905" s="98"/>
      <c r="C905" s="95"/>
      <c r="D905" s="95"/>
      <c r="E905" s="95"/>
      <c r="F905" s="92"/>
      <c r="J905" t="s">
        <v>570</v>
      </c>
      <c r="L905" t="s">
        <v>1252</v>
      </c>
      <c r="M905" s="83"/>
      <c r="N905" s="83"/>
      <c r="O905" s="82"/>
      <c r="P905" t="s">
        <v>1256</v>
      </c>
    </row>
    <row r="906" spans="1:18" x14ac:dyDescent="0.25">
      <c r="A906" s="87"/>
      <c r="B906" s="98"/>
      <c r="C906" s="95"/>
      <c r="D906" s="95"/>
      <c r="E906" s="95"/>
      <c r="F906" s="92"/>
      <c r="I906" t="s">
        <v>27</v>
      </c>
      <c r="J906" t="s">
        <v>1243</v>
      </c>
      <c r="L906" t="s">
        <v>1251</v>
      </c>
      <c r="M906" s="83"/>
      <c r="N906" s="83"/>
      <c r="O906" s="82"/>
      <c r="P906" t="s">
        <v>1255</v>
      </c>
    </row>
    <row r="907" spans="1:18" x14ac:dyDescent="0.25">
      <c r="A907" s="81"/>
      <c r="B907" s="99"/>
      <c r="C907" s="96"/>
      <c r="D907" s="96"/>
      <c r="E907" s="96"/>
      <c r="F907" s="93"/>
      <c r="J907" t="s">
        <v>458</v>
      </c>
      <c r="L907" t="s">
        <v>1253</v>
      </c>
      <c r="M907" s="73"/>
      <c r="N907" s="73"/>
      <c r="O907" s="71"/>
      <c r="P907" t="s">
        <v>1254</v>
      </c>
    </row>
    <row r="908" spans="1:18" s="6" customFormat="1" ht="15.75" customHeight="1" x14ac:dyDescent="0.25">
      <c r="A908" s="25">
        <f>$A$2+239</f>
        <v>240</v>
      </c>
      <c r="B908" s="4">
        <v>22</v>
      </c>
      <c r="C908" s="4">
        <v>12</v>
      </c>
      <c r="D908" s="4">
        <v>1728</v>
      </c>
      <c r="E908" s="4">
        <f>F908-5</f>
        <v>416</v>
      </c>
      <c r="F908" s="3">
        <v>421</v>
      </c>
      <c r="G908" s="20" t="s">
        <v>854</v>
      </c>
      <c r="H908" s="20" t="s">
        <v>1258</v>
      </c>
      <c r="I908" s="6" t="s">
        <v>27</v>
      </c>
      <c r="J908" s="6" t="s">
        <v>1258</v>
      </c>
      <c r="K908" s="6" t="s">
        <v>1259</v>
      </c>
      <c r="M908" s="27" t="s">
        <v>1260</v>
      </c>
      <c r="N908" s="27" t="s">
        <v>20</v>
      </c>
      <c r="O908" s="35" t="s">
        <v>1261</v>
      </c>
      <c r="Q908" s="8"/>
      <c r="R908" s="8"/>
    </row>
    <row r="909" spans="1:18" s="6" customFormat="1" x14ac:dyDescent="0.25">
      <c r="A909" s="80">
        <f>$A$2+240</f>
        <v>241</v>
      </c>
      <c r="B909" s="97">
        <v>10</v>
      </c>
      <c r="C909" s="94">
        <v>1</v>
      </c>
      <c r="D909" s="94">
        <v>1729</v>
      </c>
      <c r="E909" s="94">
        <f>F909-5</f>
        <v>416</v>
      </c>
      <c r="F909" s="91">
        <v>421</v>
      </c>
      <c r="G909" s="20" t="s">
        <v>1262</v>
      </c>
      <c r="H909" s="20" t="s">
        <v>908</v>
      </c>
      <c r="I909" s="6" t="s">
        <v>339</v>
      </c>
      <c r="J909" s="6" t="s">
        <v>458</v>
      </c>
      <c r="K909" s="6" t="s">
        <v>1262</v>
      </c>
      <c r="M909" s="72" t="s">
        <v>1266</v>
      </c>
      <c r="N909" s="72" t="s">
        <v>53</v>
      </c>
      <c r="O909" s="70" t="s">
        <v>1265</v>
      </c>
      <c r="Q909" s="8"/>
      <c r="R909" s="8"/>
    </row>
    <row r="910" spans="1:18" x14ac:dyDescent="0.25">
      <c r="A910" s="87"/>
      <c r="B910" s="98"/>
      <c r="C910" s="95"/>
      <c r="D910" s="95"/>
      <c r="E910" s="95"/>
      <c r="F910" s="92"/>
      <c r="H910" s="18" t="s">
        <v>1263</v>
      </c>
      <c r="J910" t="s">
        <v>908</v>
      </c>
      <c r="M910" s="83"/>
      <c r="N910" s="83"/>
      <c r="O910" s="82"/>
    </row>
    <row r="911" spans="1:18" x14ac:dyDescent="0.25">
      <c r="A911" s="81"/>
      <c r="B911" s="99"/>
      <c r="C911" s="96"/>
      <c r="D911" s="96"/>
      <c r="E911" s="96"/>
      <c r="F911" s="93"/>
      <c r="J911" t="s">
        <v>1263</v>
      </c>
      <c r="L911" t="s">
        <v>1264</v>
      </c>
      <c r="M911" s="73"/>
      <c r="N911" s="73"/>
      <c r="O911" s="71"/>
    </row>
    <row r="912" spans="1:18" s="6" customFormat="1" x14ac:dyDescent="0.25">
      <c r="A912" s="80">
        <f>$A$2+241</f>
        <v>242</v>
      </c>
      <c r="B912" s="97">
        <v>13</v>
      </c>
      <c r="C912" s="94">
        <v>1</v>
      </c>
      <c r="D912" s="94">
        <v>1729</v>
      </c>
      <c r="E912" s="94">
        <f>F912-5</f>
        <v>417</v>
      </c>
      <c r="F912" s="91">
        <v>422</v>
      </c>
      <c r="G912" s="20" t="s">
        <v>1267</v>
      </c>
      <c r="H912" s="20" t="s">
        <v>1268</v>
      </c>
      <c r="I912" s="6" t="s">
        <v>27</v>
      </c>
      <c r="J912" s="6" t="s">
        <v>1267</v>
      </c>
      <c r="M912" s="72" t="s">
        <v>855</v>
      </c>
      <c r="N912" s="72" t="s">
        <v>20</v>
      </c>
      <c r="O912" s="70" t="s">
        <v>1277</v>
      </c>
      <c r="Q912" s="8"/>
      <c r="R912" s="8"/>
    </row>
    <row r="913" spans="1:18" x14ac:dyDescent="0.25">
      <c r="A913" s="87"/>
      <c r="B913" s="98"/>
      <c r="C913" s="95"/>
      <c r="D913" s="95"/>
      <c r="E913" s="95"/>
      <c r="F913" s="92"/>
      <c r="J913" t="s">
        <v>1269</v>
      </c>
      <c r="L913" t="s">
        <v>1270</v>
      </c>
      <c r="M913" s="83"/>
      <c r="N913" s="83"/>
      <c r="O913" s="82"/>
    </row>
    <row r="914" spans="1:18" x14ac:dyDescent="0.25">
      <c r="A914" s="87"/>
      <c r="B914" s="98"/>
      <c r="C914" s="95"/>
      <c r="D914" s="95"/>
      <c r="E914" s="95"/>
      <c r="F914" s="92"/>
      <c r="I914" t="s">
        <v>104</v>
      </c>
      <c r="J914" t="s">
        <v>1268</v>
      </c>
      <c r="M914" s="83"/>
      <c r="N914" s="83"/>
      <c r="O914" s="82"/>
      <c r="P914" t="s">
        <v>1271</v>
      </c>
    </row>
    <row r="915" spans="1:18" x14ac:dyDescent="0.25">
      <c r="A915" s="87"/>
      <c r="B915" s="98"/>
      <c r="C915" s="95"/>
      <c r="D915" s="95"/>
      <c r="E915" s="95"/>
      <c r="F915" s="92"/>
      <c r="J915" t="s">
        <v>1272</v>
      </c>
      <c r="K915" t="s">
        <v>1224</v>
      </c>
      <c r="M915" s="83"/>
      <c r="N915" s="83"/>
      <c r="O915" s="82"/>
    </row>
    <row r="916" spans="1:18" x14ac:dyDescent="0.25">
      <c r="A916" s="81"/>
      <c r="B916" s="99"/>
      <c r="C916" s="96"/>
      <c r="D916" s="96"/>
      <c r="E916" s="96"/>
      <c r="F916" s="93"/>
      <c r="J916" t="s">
        <v>1274</v>
      </c>
      <c r="L916" t="s">
        <v>1273</v>
      </c>
      <c r="M916" s="73"/>
      <c r="N916" s="73"/>
      <c r="O916" s="71"/>
      <c r="P916" t="s">
        <v>1275</v>
      </c>
    </row>
    <row r="917" spans="1:18" s="6" customFormat="1" x14ac:dyDescent="0.25">
      <c r="A917" s="80">
        <f>$A$2+242</f>
        <v>243</v>
      </c>
      <c r="B917" s="97">
        <v>13</v>
      </c>
      <c r="C917" s="94">
        <v>1</v>
      </c>
      <c r="D917" s="94">
        <v>1729</v>
      </c>
      <c r="E917" s="94">
        <f>F917-5</f>
        <v>418</v>
      </c>
      <c r="F917" s="91">
        <v>423</v>
      </c>
      <c r="G917" s="20" t="s">
        <v>447</v>
      </c>
      <c r="H917" s="20" t="s">
        <v>602</v>
      </c>
      <c r="J917" s="6" t="s">
        <v>447</v>
      </c>
      <c r="K917" s="6" t="s">
        <v>1280</v>
      </c>
      <c r="M917" s="72" t="s">
        <v>244</v>
      </c>
      <c r="N917" s="72" t="s">
        <v>9</v>
      </c>
      <c r="O917" s="70" t="s">
        <v>1285</v>
      </c>
      <c r="P917" s="6" t="s">
        <v>1276</v>
      </c>
      <c r="Q917" s="8"/>
      <c r="R917" s="8"/>
    </row>
    <row r="918" spans="1:18" x14ac:dyDescent="0.25">
      <c r="A918" s="87"/>
      <c r="B918" s="98"/>
      <c r="C918" s="95"/>
      <c r="D918" s="95"/>
      <c r="E918" s="95"/>
      <c r="F918" s="92"/>
      <c r="I918" t="s">
        <v>103</v>
      </c>
      <c r="J918" t="s">
        <v>602</v>
      </c>
      <c r="K918" t="s">
        <v>1280</v>
      </c>
      <c r="M918" s="83"/>
      <c r="N918" s="83"/>
      <c r="O918" s="82"/>
      <c r="P918" t="s">
        <v>1283</v>
      </c>
    </row>
    <row r="919" spans="1:18" x14ac:dyDescent="0.25">
      <c r="A919" s="87"/>
      <c r="B919" s="98"/>
      <c r="C919" s="95"/>
      <c r="D919" s="95"/>
      <c r="E919" s="95"/>
      <c r="F919" s="92"/>
      <c r="I919" t="s">
        <v>31</v>
      </c>
      <c r="J919" t="s">
        <v>1278</v>
      </c>
      <c r="K919" t="s">
        <v>1279</v>
      </c>
      <c r="M919" s="83"/>
      <c r="N919" s="83"/>
      <c r="O919" s="82"/>
    </row>
    <row r="920" spans="1:18" x14ac:dyDescent="0.25">
      <c r="A920" s="87"/>
      <c r="B920" s="98"/>
      <c r="C920" s="95"/>
      <c r="D920" s="95"/>
      <c r="E920" s="95"/>
      <c r="F920" s="92"/>
      <c r="J920" t="s">
        <v>1281</v>
      </c>
      <c r="K920" t="s">
        <v>1282</v>
      </c>
      <c r="M920" s="83"/>
      <c r="N920" s="83"/>
      <c r="O920" s="82"/>
    </row>
    <row r="921" spans="1:18" x14ac:dyDescent="0.25">
      <c r="A921" s="87"/>
      <c r="B921" s="98"/>
      <c r="C921" s="95"/>
      <c r="D921" s="95"/>
      <c r="E921" s="95"/>
      <c r="F921" s="92"/>
      <c r="I921" t="s">
        <v>27</v>
      </c>
      <c r="J921" t="s">
        <v>530</v>
      </c>
      <c r="M921" s="83"/>
      <c r="N921" s="83"/>
      <c r="O921" s="82"/>
    </row>
    <row r="922" spans="1:18" x14ac:dyDescent="0.25">
      <c r="A922" s="81"/>
      <c r="B922" s="99"/>
      <c r="C922" s="96"/>
      <c r="D922" s="96"/>
      <c r="E922" s="96"/>
      <c r="F922" s="93"/>
      <c r="I922" t="s">
        <v>27</v>
      </c>
      <c r="J922" t="s">
        <v>1284</v>
      </c>
      <c r="M922" s="73"/>
      <c r="N922" s="73"/>
      <c r="O922" s="71"/>
    </row>
    <row r="923" spans="1:18" s="6" customFormat="1" x14ac:dyDescent="0.25">
      <c r="A923" s="80">
        <f>$A$2+243</f>
        <v>244</v>
      </c>
      <c r="B923" s="97">
        <v>17</v>
      </c>
      <c r="C923" s="94">
        <v>2</v>
      </c>
      <c r="D923" s="94">
        <v>1729</v>
      </c>
      <c r="E923" s="94">
        <f>F923-5</f>
        <v>418</v>
      </c>
      <c r="F923" s="91">
        <v>423</v>
      </c>
      <c r="G923" s="20" t="s">
        <v>601</v>
      </c>
      <c r="H923" s="20" t="s">
        <v>602</v>
      </c>
      <c r="J923" s="6" t="s">
        <v>601</v>
      </c>
      <c r="M923" s="72" t="s">
        <v>1290</v>
      </c>
      <c r="N923" s="72" t="s">
        <v>53</v>
      </c>
      <c r="O923" s="70" t="s">
        <v>1289</v>
      </c>
      <c r="P923" s="6" t="s">
        <v>1286</v>
      </c>
      <c r="Q923" s="8"/>
      <c r="R923" s="8"/>
    </row>
    <row r="924" spans="1:18" x14ac:dyDescent="0.25">
      <c r="A924" s="81"/>
      <c r="B924" s="99"/>
      <c r="C924" s="96"/>
      <c r="D924" s="96"/>
      <c r="E924" s="96"/>
      <c r="F924" s="93"/>
      <c r="J924" t="s">
        <v>602</v>
      </c>
      <c r="K924" t="s">
        <v>1288</v>
      </c>
      <c r="M924" s="73"/>
      <c r="N924" s="73"/>
      <c r="O924" s="71"/>
      <c r="P924" t="s">
        <v>1287</v>
      </c>
    </row>
    <row r="925" spans="1:18" s="6" customFormat="1" ht="18" customHeight="1" x14ac:dyDescent="0.25">
      <c r="A925" s="39">
        <f>$A$2+244</f>
        <v>245</v>
      </c>
      <c r="B925" s="38">
        <v>17</v>
      </c>
      <c r="C925" s="38">
        <v>2</v>
      </c>
      <c r="D925" s="38">
        <v>1729</v>
      </c>
      <c r="E925" s="38">
        <f>F925-5</f>
        <v>420</v>
      </c>
      <c r="F925" s="37">
        <v>425</v>
      </c>
      <c r="G925" s="20" t="s">
        <v>643</v>
      </c>
      <c r="H925" s="20"/>
      <c r="I925" s="6" t="s">
        <v>103</v>
      </c>
      <c r="J925" s="6" t="s">
        <v>643</v>
      </c>
      <c r="M925" s="36" t="s">
        <v>809</v>
      </c>
      <c r="N925" s="36" t="s">
        <v>266</v>
      </c>
      <c r="O925" s="40"/>
      <c r="Q925" s="8"/>
      <c r="R925" s="8"/>
    </row>
    <row r="926" spans="1:18" s="6" customFormat="1" x14ac:dyDescent="0.25">
      <c r="A926" s="80">
        <f>$A$2+245</f>
        <v>246</v>
      </c>
      <c r="B926" s="97">
        <v>17</v>
      </c>
      <c r="C926" s="94">
        <v>2</v>
      </c>
      <c r="D926" s="94">
        <v>1729</v>
      </c>
      <c r="E926" s="94">
        <f>F926-5</f>
        <v>420</v>
      </c>
      <c r="F926" s="91">
        <v>425</v>
      </c>
      <c r="G926" s="20" t="s">
        <v>643</v>
      </c>
      <c r="H926" s="20" t="s">
        <v>601</v>
      </c>
      <c r="I926" s="6" t="s">
        <v>103</v>
      </c>
      <c r="J926" s="6" t="s">
        <v>643</v>
      </c>
      <c r="M926" s="72" t="s">
        <v>1291</v>
      </c>
      <c r="N926" s="72" t="s">
        <v>20</v>
      </c>
      <c r="O926" s="70" t="s">
        <v>1292</v>
      </c>
      <c r="Q926" s="8"/>
      <c r="R926" s="8"/>
    </row>
    <row r="927" spans="1:18" x14ac:dyDescent="0.25">
      <c r="A927" s="81"/>
      <c r="B927" s="99"/>
      <c r="C927" s="96"/>
      <c r="D927" s="96"/>
      <c r="E927" s="96"/>
      <c r="F927" s="93"/>
      <c r="I927" t="s">
        <v>27</v>
      </c>
      <c r="J927" t="s">
        <v>601</v>
      </c>
      <c r="M927" s="73"/>
      <c r="N927" s="73"/>
      <c r="O927" s="71"/>
    </row>
    <row r="928" spans="1:18" s="6" customFormat="1" x14ac:dyDescent="0.25">
      <c r="A928" s="80">
        <f>$A$2+246</f>
        <v>247</v>
      </c>
      <c r="B928" s="97">
        <v>9</v>
      </c>
      <c r="C928" s="94">
        <v>3</v>
      </c>
      <c r="D928" s="94">
        <v>1729</v>
      </c>
      <c r="E928" s="94">
        <f>F928-5</f>
        <v>421</v>
      </c>
      <c r="F928" s="91">
        <v>426</v>
      </c>
      <c r="G928" s="20" t="s">
        <v>654</v>
      </c>
      <c r="H928" s="20" t="s">
        <v>121</v>
      </c>
      <c r="J928" s="6" t="s">
        <v>654</v>
      </c>
      <c r="M928" s="72" t="s">
        <v>1230</v>
      </c>
      <c r="N928" s="72" t="s">
        <v>53</v>
      </c>
      <c r="O928" s="70" t="s">
        <v>1293</v>
      </c>
      <c r="Q928" s="8"/>
      <c r="R928" s="8"/>
    </row>
    <row r="929" spans="1:18" x14ac:dyDescent="0.25">
      <c r="A929" s="81"/>
      <c r="B929" s="99"/>
      <c r="C929" s="96"/>
      <c r="D929" s="96"/>
      <c r="E929" s="96"/>
      <c r="F929" s="93"/>
      <c r="I929" t="s">
        <v>103</v>
      </c>
      <c r="J929" t="s">
        <v>121</v>
      </c>
      <c r="M929" s="73"/>
      <c r="N929" s="73"/>
      <c r="O929" s="71"/>
    </row>
    <row r="930" spans="1:18" s="6" customFormat="1" x14ac:dyDescent="0.25">
      <c r="A930" s="80">
        <f>$A$2+247</f>
        <v>248</v>
      </c>
      <c r="B930" s="97">
        <v>23</v>
      </c>
      <c r="C930" s="94">
        <v>3</v>
      </c>
      <c r="D930" s="94">
        <v>1729</v>
      </c>
      <c r="E930" s="94">
        <f>F930-5</f>
        <v>421</v>
      </c>
      <c r="F930" s="91">
        <v>426</v>
      </c>
      <c r="G930" s="20" t="s">
        <v>773</v>
      </c>
      <c r="H930" s="20" t="s">
        <v>1294</v>
      </c>
      <c r="I930" s="6" t="s">
        <v>103</v>
      </c>
      <c r="J930" s="6" t="s">
        <v>773</v>
      </c>
      <c r="M930" s="72" t="s">
        <v>13</v>
      </c>
      <c r="N930" s="72" t="s">
        <v>20</v>
      </c>
      <c r="O930" s="70" t="s">
        <v>1298</v>
      </c>
      <c r="Q930" s="8"/>
      <c r="R930" s="8"/>
    </row>
    <row r="931" spans="1:18" x14ac:dyDescent="0.25">
      <c r="A931" s="87"/>
      <c r="B931" s="98"/>
      <c r="C931" s="95"/>
      <c r="D931" s="95"/>
      <c r="E931" s="95"/>
      <c r="F931" s="92"/>
      <c r="H931" s="18" t="s">
        <v>1295</v>
      </c>
      <c r="J931" t="s">
        <v>1296</v>
      </c>
      <c r="L931" t="s">
        <v>1301</v>
      </c>
      <c r="M931" s="83"/>
      <c r="N931" s="83"/>
      <c r="O931" s="82"/>
      <c r="P931" t="s">
        <v>1297</v>
      </c>
    </row>
    <row r="932" spans="1:18" x14ac:dyDescent="0.25">
      <c r="A932" s="87"/>
      <c r="B932" s="98"/>
      <c r="C932" s="95"/>
      <c r="D932" s="95"/>
      <c r="E932" s="95"/>
      <c r="F932" s="92"/>
      <c r="I932" t="s">
        <v>31</v>
      </c>
      <c r="J932" t="s">
        <v>1294</v>
      </c>
      <c r="M932" s="83"/>
      <c r="N932" s="83"/>
      <c r="O932" s="82"/>
      <c r="P932" t="s">
        <v>1299</v>
      </c>
    </row>
    <row r="933" spans="1:18" x14ac:dyDescent="0.25">
      <c r="A933" s="87"/>
      <c r="B933" s="98"/>
      <c r="C933" s="95"/>
      <c r="D933" s="95"/>
      <c r="E933" s="95"/>
      <c r="F933" s="92"/>
      <c r="J933" t="s">
        <v>1295</v>
      </c>
      <c r="L933" t="s">
        <v>1300</v>
      </c>
      <c r="M933" s="83"/>
      <c r="N933" s="83"/>
      <c r="O933" s="82"/>
      <c r="P933" t="s">
        <v>1302</v>
      </c>
    </row>
    <row r="934" spans="1:18" x14ac:dyDescent="0.25">
      <c r="A934" s="81"/>
      <c r="B934" s="99"/>
      <c r="C934" s="96"/>
      <c r="D934" s="96"/>
      <c r="E934" s="96"/>
      <c r="F934" s="93"/>
      <c r="J934" t="s">
        <v>100</v>
      </c>
      <c r="L934" t="s">
        <v>1304</v>
      </c>
      <c r="M934" s="73"/>
      <c r="N934" s="73"/>
      <c r="O934" s="71"/>
      <c r="P934" t="s">
        <v>1303</v>
      </c>
    </row>
    <row r="935" spans="1:18" s="6" customFormat="1" x14ac:dyDescent="0.25">
      <c r="A935" s="80">
        <f>$A$2+248</f>
        <v>249</v>
      </c>
      <c r="B935" s="97">
        <v>26</v>
      </c>
      <c r="C935" s="94">
        <v>3</v>
      </c>
      <c r="D935" s="94">
        <v>1729</v>
      </c>
      <c r="E935" s="94">
        <f>F935-5</f>
        <v>422</v>
      </c>
      <c r="F935" s="91">
        <v>427</v>
      </c>
      <c r="G935" s="20" t="s">
        <v>773</v>
      </c>
      <c r="H935" s="20" t="s">
        <v>1305</v>
      </c>
      <c r="I935" s="6" t="s">
        <v>103</v>
      </c>
      <c r="J935" s="6" t="s">
        <v>773</v>
      </c>
      <c r="M935" s="72" t="s">
        <v>13</v>
      </c>
      <c r="N935" s="72" t="s">
        <v>9</v>
      </c>
      <c r="O935" s="70" t="s">
        <v>1312</v>
      </c>
      <c r="Q935" s="8"/>
      <c r="R935" s="8"/>
    </row>
    <row r="936" spans="1:18" x14ac:dyDescent="0.25">
      <c r="A936" s="87"/>
      <c r="B936" s="98"/>
      <c r="C936" s="95"/>
      <c r="D936" s="95"/>
      <c r="E936" s="95"/>
      <c r="F936" s="92"/>
      <c r="H936" s="18" t="s">
        <v>1306</v>
      </c>
      <c r="J936" t="s">
        <v>1296</v>
      </c>
      <c r="L936" t="s">
        <v>1301</v>
      </c>
      <c r="M936" s="83"/>
      <c r="N936" s="83"/>
      <c r="O936" s="82"/>
    </row>
    <row r="937" spans="1:18" x14ac:dyDescent="0.25">
      <c r="A937" s="87"/>
      <c r="B937" s="98"/>
      <c r="C937" s="95"/>
      <c r="D937" s="95"/>
      <c r="E937" s="95"/>
      <c r="F937" s="92"/>
      <c r="I937" t="s">
        <v>31</v>
      </c>
      <c r="J937" t="s">
        <v>1305</v>
      </c>
      <c r="M937" s="83"/>
      <c r="N937" s="83"/>
      <c r="O937" s="82"/>
      <c r="P937" t="s">
        <v>1311</v>
      </c>
    </row>
    <row r="938" spans="1:18" x14ac:dyDescent="0.25">
      <c r="A938" s="87"/>
      <c r="B938" s="98"/>
      <c r="C938" s="95"/>
      <c r="D938" s="95"/>
      <c r="E938" s="95"/>
      <c r="F938" s="92"/>
      <c r="J938" t="s">
        <v>601</v>
      </c>
      <c r="L938" t="s">
        <v>1310</v>
      </c>
      <c r="M938" s="83"/>
      <c r="N938" s="83"/>
      <c r="O938" s="82"/>
    </row>
    <row r="939" spans="1:18" x14ac:dyDescent="0.25">
      <c r="A939" s="87"/>
      <c r="B939" s="98"/>
      <c r="C939" s="95"/>
      <c r="D939" s="95"/>
      <c r="E939" s="95"/>
      <c r="F939" s="92"/>
      <c r="J939" t="s">
        <v>1306</v>
      </c>
      <c r="M939" s="83"/>
      <c r="N939" s="83"/>
      <c r="O939" s="82"/>
    </row>
    <row r="940" spans="1:18" x14ac:dyDescent="0.25">
      <c r="A940" s="87"/>
      <c r="B940" s="98"/>
      <c r="C940" s="95"/>
      <c r="D940" s="95"/>
      <c r="E940" s="95"/>
      <c r="F940" s="92"/>
      <c r="J940" t="s">
        <v>1307</v>
      </c>
      <c r="M940" s="83"/>
      <c r="N940" s="83"/>
      <c r="O940" s="82"/>
    </row>
    <row r="941" spans="1:18" x14ac:dyDescent="0.25">
      <c r="A941" s="87"/>
      <c r="B941" s="98"/>
      <c r="C941" s="95"/>
      <c r="D941" s="95"/>
      <c r="E941" s="95"/>
      <c r="F941" s="92"/>
      <c r="J941" t="s">
        <v>1308</v>
      </c>
      <c r="M941" s="83"/>
      <c r="N941" s="83"/>
      <c r="O941" s="82"/>
    </row>
    <row r="942" spans="1:18" x14ac:dyDescent="0.25">
      <c r="A942" s="81"/>
      <c r="B942" s="99"/>
      <c r="C942" s="96"/>
      <c r="D942" s="96"/>
      <c r="E942" s="96"/>
      <c r="F942" s="93"/>
      <c r="I942" t="s">
        <v>27</v>
      </c>
      <c r="J942" t="s">
        <v>1309</v>
      </c>
      <c r="M942" s="73"/>
      <c r="N942" s="73"/>
      <c r="O942" s="71"/>
    </row>
    <row r="943" spans="1:18" s="6" customFormat="1" x14ac:dyDescent="0.25">
      <c r="A943" s="80">
        <f>$A$2+249</f>
        <v>250</v>
      </c>
      <c r="B943" s="97">
        <v>26</v>
      </c>
      <c r="C943" s="94">
        <v>3</v>
      </c>
      <c r="D943" s="94">
        <v>1729</v>
      </c>
      <c r="E943" s="94">
        <f>F943-5</f>
        <v>423</v>
      </c>
      <c r="F943" s="91">
        <v>428</v>
      </c>
      <c r="G943" s="20" t="s">
        <v>1305</v>
      </c>
      <c r="H943" s="20" t="s">
        <v>59</v>
      </c>
      <c r="I943" s="6" t="s">
        <v>31</v>
      </c>
      <c r="J943" s="6" t="s">
        <v>1305</v>
      </c>
      <c r="L943" s="6" t="s">
        <v>1315</v>
      </c>
      <c r="M943" s="72" t="s">
        <v>13</v>
      </c>
      <c r="N943" s="72" t="s">
        <v>9</v>
      </c>
      <c r="O943" s="70" t="s">
        <v>1318</v>
      </c>
      <c r="Q943" s="8"/>
      <c r="R943" s="8"/>
    </row>
    <row r="944" spans="1:18" x14ac:dyDescent="0.25">
      <c r="A944" s="87"/>
      <c r="B944" s="98"/>
      <c r="C944" s="95"/>
      <c r="D944" s="95"/>
      <c r="E944" s="95"/>
      <c r="F944" s="92"/>
      <c r="I944" t="s">
        <v>103</v>
      </c>
      <c r="J944" t="s">
        <v>59</v>
      </c>
      <c r="M944" s="83"/>
      <c r="N944" s="83"/>
      <c r="O944" s="82"/>
    </row>
    <row r="945" spans="1:18" x14ac:dyDescent="0.25">
      <c r="A945" s="87"/>
      <c r="B945" s="98"/>
      <c r="C945" s="95"/>
      <c r="D945" s="95"/>
      <c r="E945" s="95"/>
      <c r="F945" s="92"/>
      <c r="J945" t="s">
        <v>1313</v>
      </c>
      <c r="L945" t="s">
        <v>1314</v>
      </c>
      <c r="M945" s="83"/>
      <c r="N945" s="83"/>
      <c r="O945" s="82"/>
    </row>
    <row r="946" spans="1:18" x14ac:dyDescent="0.25">
      <c r="A946" s="81"/>
      <c r="B946" s="99"/>
      <c r="C946" s="96"/>
      <c r="D946" s="96"/>
      <c r="E946" s="96"/>
      <c r="F946" s="93"/>
      <c r="J946" t="s">
        <v>1316</v>
      </c>
      <c r="K946" t="s">
        <v>1317</v>
      </c>
      <c r="M946" s="73"/>
      <c r="N946" s="73"/>
      <c r="O946" s="71"/>
    </row>
    <row r="947" spans="1:18" s="6" customFormat="1" x14ac:dyDescent="0.25">
      <c r="A947" s="80">
        <f>$A$2+250</f>
        <v>251</v>
      </c>
      <c r="B947" s="97">
        <v>26</v>
      </c>
      <c r="C947" s="94">
        <v>3</v>
      </c>
      <c r="D947" s="94">
        <v>1729</v>
      </c>
      <c r="E947" s="94">
        <f>F947-5</f>
        <v>423</v>
      </c>
      <c r="F947" s="91">
        <v>428</v>
      </c>
      <c r="G947" s="20" t="s">
        <v>1319</v>
      </c>
      <c r="H947" s="20" t="s">
        <v>1305</v>
      </c>
      <c r="I947" s="6" t="s">
        <v>104</v>
      </c>
      <c r="J947" s="6" t="s">
        <v>1319</v>
      </c>
      <c r="M947" s="72" t="s">
        <v>13</v>
      </c>
      <c r="N947" s="72" t="s">
        <v>53</v>
      </c>
      <c r="O947" s="70" t="s">
        <v>1320</v>
      </c>
      <c r="Q947" s="8"/>
      <c r="R947" s="8"/>
    </row>
    <row r="948" spans="1:18" x14ac:dyDescent="0.25">
      <c r="A948" s="87"/>
      <c r="B948" s="98"/>
      <c r="C948" s="95"/>
      <c r="D948" s="95"/>
      <c r="E948" s="95"/>
      <c r="F948" s="92"/>
      <c r="H948" s="18" t="s">
        <v>1306</v>
      </c>
      <c r="J948" t="s">
        <v>1305</v>
      </c>
      <c r="M948" s="83"/>
      <c r="N948" s="83"/>
      <c r="O948" s="82"/>
    </row>
    <row r="949" spans="1:18" x14ac:dyDescent="0.25">
      <c r="A949" s="81"/>
      <c r="B949" s="99"/>
      <c r="C949" s="96"/>
      <c r="D949" s="96"/>
      <c r="E949" s="96"/>
      <c r="F949" s="93"/>
      <c r="J949" t="s">
        <v>1306</v>
      </c>
      <c r="M949" s="73"/>
      <c r="N949" s="73"/>
      <c r="O949" s="71"/>
    </row>
    <row r="950" spans="1:18" s="6" customFormat="1" x14ac:dyDescent="0.25">
      <c r="A950" s="80">
        <f>$A$2+251</f>
        <v>252</v>
      </c>
      <c r="B950" s="97">
        <v>26</v>
      </c>
      <c r="C950" s="94">
        <v>3</v>
      </c>
      <c r="D950" s="94">
        <v>1729</v>
      </c>
      <c r="E950" s="94">
        <f>F950-5</f>
        <v>424</v>
      </c>
      <c r="F950" s="91">
        <v>429</v>
      </c>
      <c r="G950" s="20" t="s">
        <v>17</v>
      </c>
      <c r="H950" s="20" t="s">
        <v>100</v>
      </c>
      <c r="I950" s="6" t="s">
        <v>103</v>
      </c>
      <c r="J950" s="6" t="s">
        <v>17</v>
      </c>
      <c r="M950" s="72" t="s">
        <v>1322</v>
      </c>
      <c r="N950" s="72" t="s">
        <v>20</v>
      </c>
      <c r="O950" s="70" t="s">
        <v>1323</v>
      </c>
      <c r="Q950" s="8"/>
      <c r="R950" s="8"/>
    </row>
    <row r="951" spans="1:18" x14ac:dyDescent="0.25">
      <c r="A951" s="81"/>
      <c r="B951" s="99"/>
      <c r="C951" s="96"/>
      <c r="D951" s="96"/>
      <c r="E951" s="96"/>
      <c r="F951" s="93"/>
      <c r="I951" t="s">
        <v>27</v>
      </c>
      <c r="J951" t="s">
        <v>100</v>
      </c>
      <c r="M951" s="73"/>
      <c r="N951" s="73"/>
      <c r="O951" s="71"/>
      <c r="P951" t="s">
        <v>1321</v>
      </c>
    </row>
    <row r="952" spans="1:18" s="6" customFormat="1" x14ac:dyDescent="0.25">
      <c r="A952" s="80">
        <f>$A$2+252</f>
        <v>253</v>
      </c>
      <c r="B952" s="97">
        <v>26</v>
      </c>
      <c r="C952" s="94">
        <v>3</v>
      </c>
      <c r="D952" s="94">
        <v>1729</v>
      </c>
      <c r="E952" s="94">
        <f>F952-5</f>
        <v>424</v>
      </c>
      <c r="F952" s="91">
        <v>429</v>
      </c>
      <c r="G952" s="20" t="s">
        <v>17</v>
      </c>
      <c r="H952" s="20" t="s">
        <v>1306</v>
      </c>
      <c r="I952" s="6" t="s">
        <v>103</v>
      </c>
      <c r="J952" s="6" t="s">
        <v>17</v>
      </c>
      <c r="M952" s="72" t="s">
        <v>13</v>
      </c>
      <c r="N952" s="72" t="s">
        <v>20</v>
      </c>
      <c r="O952" s="70" t="s">
        <v>1325</v>
      </c>
      <c r="Q952" s="8"/>
      <c r="R952" s="8"/>
    </row>
    <row r="953" spans="1:18" x14ac:dyDescent="0.25">
      <c r="A953" s="81"/>
      <c r="B953" s="99"/>
      <c r="C953" s="96"/>
      <c r="D953" s="96"/>
      <c r="E953" s="96"/>
      <c r="F953" s="93"/>
      <c r="I953" t="s">
        <v>31</v>
      </c>
      <c r="J953" t="s">
        <v>1306</v>
      </c>
      <c r="M953" s="73"/>
      <c r="N953" s="73"/>
      <c r="O953" s="71"/>
      <c r="P953" t="s">
        <v>1324</v>
      </c>
    </row>
    <row r="954" spans="1:18" s="6" customFormat="1" x14ac:dyDescent="0.25">
      <c r="A954" s="80">
        <f>$A$2+253</f>
        <v>254</v>
      </c>
      <c r="B954" s="97">
        <v>28</v>
      </c>
      <c r="C954" s="94">
        <v>3</v>
      </c>
      <c r="D954" s="94">
        <v>1729</v>
      </c>
      <c r="E954" s="94">
        <f>F954-5</f>
        <v>425</v>
      </c>
      <c r="F954" s="91">
        <v>430</v>
      </c>
      <c r="G954" s="20" t="s">
        <v>17</v>
      </c>
      <c r="H954" s="20" t="s">
        <v>1306</v>
      </c>
      <c r="I954" s="6" t="s">
        <v>103</v>
      </c>
      <c r="J954" s="6" t="s">
        <v>17</v>
      </c>
      <c r="M954" s="72" t="s">
        <v>1032</v>
      </c>
      <c r="N954" s="72" t="s">
        <v>9</v>
      </c>
      <c r="O954" s="70" t="s">
        <v>1340</v>
      </c>
      <c r="P954" s="6" t="s">
        <v>1337</v>
      </c>
      <c r="Q954" s="8"/>
      <c r="R954" s="8"/>
    </row>
    <row r="955" spans="1:18" x14ac:dyDescent="0.25">
      <c r="A955" s="87"/>
      <c r="B955" s="98"/>
      <c r="C955" s="95"/>
      <c r="D955" s="95"/>
      <c r="E955" s="95"/>
      <c r="F955" s="92"/>
      <c r="H955" s="18" t="s">
        <v>81</v>
      </c>
      <c r="I955" t="s">
        <v>31</v>
      </c>
      <c r="J955" t="s">
        <v>1306</v>
      </c>
      <c r="M955" s="83"/>
      <c r="N955" s="83"/>
      <c r="O955" s="82"/>
      <c r="P955" t="s">
        <v>1335</v>
      </c>
    </row>
    <row r="956" spans="1:18" x14ac:dyDescent="0.25">
      <c r="A956" s="87"/>
      <c r="B956" s="98"/>
      <c r="C956" s="95"/>
      <c r="D956" s="95"/>
      <c r="E956" s="95"/>
      <c r="F956" s="92"/>
      <c r="J956" t="s">
        <v>81</v>
      </c>
      <c r="M956" s="83"/>
      <c r="N956" s="83"/>
      <c r="O956" s="82"/>
      <c r="P956" t="s">
        <v>1331</v>
      </c>
    </row>
    <row r="957" spans="1:18" x14ac:dyDescent="0.25">
      <c r="A957" s="87"/>
      <c r="B957" s="98"/>
      <c r="C957" s="95"/>
      <c r="D957" s="95"/>
      <c r="E957" s="95"/>
      <c r="F957" s="92"/>
      <c r="I957" t="s">
        <v>31</v>
      </c>
      <c r="J957" t="s">
        <v>1326</v>
      </c>
      <c r="M957" s="83"/>
      <c r="N957" s="83"/>
      <c r="O957" s="82"/>
    </row>
    <row r="958" spans="1:18" x14ac:dyDescent="0.25">
      <c r="A958" s="87"/>
      <c r="B958" s="98"/>
      <c r="C958" s="95"/>
      <c r="D958" s="95"/>
      <c r="E958" s="95"/>
      <c r="F958" s="92"/>
      <c r="I958" t="s">
        <v>31</v>
      </c>
      <c r="J958" t="s">
        <v>1332</v>
      </c>
      <c r="M958" s="83"/>
      <c r="N958" s="83"/>
      <c r="O958" s="82"/>
    </row>
    <row r="959" spans="1:18" x14ac:dyDescent="0.25">
      <c r="A959" s="87"/>
      <c r="B959" s="98"/>
      <c r="C959" s="95"/>
      <c r="D959" s="95"/>
      <c r="E959" s="95"/>
      <c r="F959" s="92"/>
      <c r="J959" t="s">
        <v>169</v>
      </c>
      <c r="K959" t="s">
        <v>1327</v>
      </c>
      <c r="M959" s="83"/>
      <c r="N959" s="83"/>
      <c r="O959" s="82"/>
    </row>
    <row r="960" spans="1:18" x14ac:dyDescent="0.25">
      <c r="A960" s="87"/>
      <c r="B960" s="98"/>
      <c r="C960" s="95"/>
      <c r="D960" s="95"/>
      <c r="E960" s="95"/>
      <c r="F960" s="92"/>
      <c r="I960" t="s">
        <v>339</v>
      </c>
      <c r="J960" t="s">
        <v>937</v>
      </c>
      <c r="K960" t="s">
        <v>939</v>
      </c>
      <c r="M960" s="83"/>
      <c r="N960" s="83"/>
      <c r="O960" s="82"/>
      <c r="P960" t="s">
        <v>1328</v>
      </c>
    </row>
    <row r="961" spans="1:18" x14ac:dyDescent="0.25">
      <c r="A961" s="87"/>
      <c r="B961" s="98"/>
      <c r="C961" s="95"/>
      <c r="D961" s="95"/>
      <c r="E961" s="95"/>
      <c r="F961" s="92"/>
      <c r="I961" t="s">
        <v>103</v>
      </c>
      <c r="J961" t="s">
        <v>1329</v>
      </c>
      <c r="M961" s="83"/>
      <c r="N961" s="83"/>
      <c r="O961" s="82"/>
    </row>
    <row r="962" spans="1:18" x14ac:dyDescent="0.25">
      <c r="A962" s="87"/>
      <c r="B962" s="98"/>
      <c r="C962" s="95"/>
      <c r="D962" s="95"/>
      <c r="E962" s="95"/>
      <c r="F962" s="92"/>
      <c r="J962" t="s">
        <v>1330</v>
      </c>
      <c r="M962" s="83"/>
      <c r="N962" s="83"/>
      <c r="O962" s="82"/>
      <c r="P962" t="s">
        <v>1336</v>
      </c>
    </row>
    <row r="963" spans="1:18" x14ac:dyDescent="0.25">
      <c r="A963" s="87"/>
      <c r="B963" s="98"/>
      <c r="C963" s="95"/>
      <c r="D963" s="95"/>
      <c r="E963" s="95"/>
      <c r="F963" s="92"/>
      <c r="J963" t="s">
        <v>570</v>
      </c>
      <c r="M963" s="83"/>
      <c r="N963" s="83"/>
      <c r="O963" s="82"/>
    </row>
    <row r="964" spans="1:18" x14ac:dyDescent="0.25">
      <c r="A964" s="87"/>
      <c r="B964" s="98"/>
      <c r="C964" s="95"/>
      <c r="D964" s="95"/>
      <c r="E964" s="95"/>
      <c r="F964" s="92"/>
      <c r="I964" t="s">
        <v>31</v>
      </c>
      <c r="J964" t="s">
        <v>1333</v>
      </c>
      <c r="M964" s="83"/>
      <c r="N964" s="83"/>
      <c r="O964" s="82"/>
    </row>
    <row r="965" spans="1:18" x14ac:dyDescent="0.25">
      <c r="A965" s="87"/>
      <c r="B965" s="98"/>
      <c r="C965" s="95"/>
      <c r="D965" s="95"/>
      <c r="E965" s="95"/>
      <c r="F965" s="92"/>
      <c r="I965" t="s">
        <v>339</v>
      </c>
      <c r="J965" t="s">
        <v>1334</v>
      </c>
      <c r="M965" s="83"/>
      <c r="N965" s="83"/>
      <c r="O965" s="82"/>
    </row>
    <row r="966" spans="1:18" x14ac:dyDescent="0.25">
      <c r="A966" s="87"/>
      <c r="B966" s="98"/>
      <c r="C966" s="95"/>
      <c r="D966" s="95"/>
      <c r="E966" s="95"/>
      <c r="F966" s="92"/>
      <c r="I966" t="s">
        <v>27</v>
      </c>
      <c r="J966" t="s">
        <v>597</v>
      </c>
      <c r="M966" s="83"/>
      <c r="N966" s="83"/>
      <c r="O966" s="82"/>
    </row>
    <row r="967" spans="1:18" x14ac:dyDescent="0.25">
      <c r="A967" s="87"/>
      <c r="B967" s="98"/>
      <c r="C967" s="95"/>
      <c r="D967" s="95"/>
      <c r="E967" s="95"/>
      <c r="F967" s="92"/>
      <c r="J967" t="s">
        <v>100</v>
      </c>
      <c r="M967" s="83"/>
      <c r="N967" s="83"/>
      <c r="O967" s="82"/>
    </row>
    <row r="968" spans="1:18" x14ac:dyDescent="0.25">
      <c r="A968" s="81"/>
      <c r="B968" s="99"/>
      <c r="C968" s="96"/>
      <c r="D968" s="96"/>
      <c r="E968" s="96"/>
      <c r="F968" s="93"/>
      <c r="J968" t="s">
        <v>1338</v>
      </c>
      <c r="K968" t="s">
        <v>1196</v>
      </c>
      <c r="M968" s="73"/>
      <c r="N968" s="73"/>
      <c r="O968" s="71"/>
      <c r="P968" t="s">
        <v>1339</v>
      </c>
    </row>
    <row r="969" spans="1:18" s="6" customFormat="1" x14ac:dyDescent="0.25">
      <c r="A969" s="80">
        <f>$A$2+254</f>
        <v>255</v>
      </c>
      <c r="B969" s="97">
        <v>28</v>
      </c>
      <c r="C969" s="94">
        <v>3</v>
      </c>
      <c r="D969" s="94">
        <v>1729</v>
      </c>
      <c r="E969" s="94">
        <f>F969-5</f>
        <v>427</v>
      </c>
      <c r="F969" s="91">
        <v>432</v>
      </c>
      <c r="G969" s="20"/>
      <c r="H969" s="20"/>
      <c r="J969" s="6" t="s">
        <v>100</v>
      </c>
      <c r="M969" s="72" t="s">
        <v>13</v>
      </c>
      <c r="N969" s="72" t="s">
        <v>53</v>
      </c>
      <c r="O969" s="70" t="s">
        <v>1342</v>
      </c>
      <c r="Q969" s="8"/>
      <c r="R969" s="8"/>
    </row>
    <row r="970" spans="1:18" x14ac:dyDescent="0.25">
      <c r="A970" s="87"/>
      <c r="B970" s="98"/>
      <c r="C970" s="95"/>
      <c r="D970" s="95"/>
      <c r="E970" s="95"/>
      <c r="F970" s="92"/>
      <c r="J970" t="s">
        <v>59</v>
      </c>
      <c r="M970" s="83"/>
      <c r="N970" s="83"/>
      <c r="O970" s="82"/>
    </row>
    <row r="971" spans="1:18" x14ac:dyDescent="0.25">
      <c r="A971" s="87"/>
      <c r="B971" s="98"/>
      <c r="C971" s="95"/>
      <c r="D971" s="95"/>
      <c r="E971" s="95"/>
      <c r="F971" s="92"/>
      <c r="J971" t="s">
        <v>32</v>
      </c>
      <c r="M971" s="83"/>
      <c r="N971" s="83"/>
      <c r="O971" s="82"/>
    </row>
    <row r="972" spans="1:18" x14ac:dyDescent="0.25">
      <c r="A972" s="87"/>
      <c r="B972" s="98"/>
      <c r="C972" s="95"/>
      <c r="D972" s="95"/>
      <c r="E972" s="95"/>
      <c r="F972" s="92"/>
      <c r="J972" t="s">
        <v>81</v>
      </c>
      <c r="L972" t="s">
        <v>88</v>
      </c>
      <c r="M972" s="83"/>
      <c r="N972" s="83"/>
      <c r="O972" s="82"/>
    </row>
    <row r="973" spans="1:18" x14ac:dyDescent="0.25">
      <c r="A973" s="81"/>
      <c r="B973" s="99"/>
      <c r="C973" s="96"/>
      <c r="D973" s="96"/>
      <c r="E973" s="96"/>
      <c r="F973" s="93"/>
      <c r="J973" t="s">
        <v>1306</v>
      </c>
      <c r="M973" s="73"/>
      <c r="N973" s="73"/>
      <c r="O973" s="71"/>
      <c r="P973" t="s">
        <v>1341</v>
      </c>
    </row>
    <row r="974" spans="1:18" s="6" customFormat="1" x14ac:dyDescent="0.25">
      <c r="A974" s="80">
        <f>$A$2+255</f>
        <v>256</v>
      </c>
      <c r="B974" s="97">
        <v>28</v>
      </c>
      <c r="C974" s="94">
        <v>3</v>
      </c>
      <c r="D974" s="94">
        <v>1729</v>
      </c>
      <c r="E974" s="94">
        <f>F974-5</f>
        <v>428</v>
      </c>
      <c r="F974" s="91">
        <v>433</v>
      </c>
      <c r="G974" s="20"/>
      <c r="H974" s="20"/>
      <c r="J974" s="6" t="s">
        <v>1343</v>
      </c>
      <c r="K974" s="6" t="s">
        <v>1345</v>
      </c>
      <c r="M974" s="72" t="s">
        <v>1347</v>
      </c>
      <c r="N974" s="72" t="s">
        <v>53</v>
      </c>
      <c r="O974" s="70" t="s">
        <v>1348</v>
      </c>
      <c r="Q974" s="8"/>
      <c r="R974" s="8"/>
    </row>
    <row r="975" spans="1:18" x14ac:dyDescent="0.25">
      <c r="A975" s="81"/>
      <c r="B975" s="99"/>
      <c r="C975" s="96"/>
      <c r="D975" s="96"/>
      <c r="E975" s="96"/>
      <c r="F975" s="93"/>
      <c r="J975" t="s">
        <v>1344</v>
      </c>
      <c r="K975" t="s">
        <v>1346</v>
      </c>
      <c r="M975" s="73"/>
      <c r="N975" s="73"/>
      <c r="O975" s="71"/>
    </row>
    <row r="976" spans="1:18" s="6" customFormat="1" x14ac:dyDescent="0.25">
      <c r="A976" s="80">
        <f>$A$2+256</f>
        <v>257</v>
      </c>
      <c r="B976" s="97">
        <v>13</v>
      </c>
      <c r="C976" s="94">
        <v>4</v>
      </c>
      <c r="D976" s="94">
        <v>1729</v>
      </c>
      <c r="E976" s="94">
        <f>F976-5</f>
        <v>428</v>
      </c>
      <c r="F976" s="91">
        <v>433</v>
      </c>
      <c r="G976" s="20" t="s">
        <v>1349</v>
      </c>
      <c r="H976" s="20" t="s">
        <v>1350</v>
      </c>
      <c r="I976" s="6" t="s">
        <v>27</v>
      </c>
      <c r="J976" s="6" t="s">
        <v>1349</v>
      </c>
      <c r="K976" s="6" t="s">
        <v>550</v>
      </c>
      <c r="M976" s="72" t="s">
        <v>108</v>
      </c>
      <c r="N976" s="72" t="s">
        <v>20</v>
      </c>
      <c r="O976" s="70" t="s">
        <v>1355</v>
      </c>
      <c r="Q976" s="8"/>
      <c r="R976" s="8"/>
    </row>
    <row r="977" spans="1:18" x14ac:dyDescent="0.25">
      <c r="A977" s="87"/>
      <c r="B977" s="98"/>
      <c r="C977" s="95"/>
      <c r="D977" s="95"/>
      <c r="E977" s="95"/>
      <c r="F977" s="92"/>
      <c r="J977" t="s">
        <v>1350</v>
      </c>
      <c r="L977" t="s">
        <v>1351</v>
      </c>
      <c r="M977" s="83"/>
      <c r="N977" s="83"/>
      <c r="O977" s="82"/>
    </row>
    <row r="978" spans="1:18" x14ac:dyDescent="0.25">
      <c r="A978" s="87"/>
      <c r="B978" s="98"/>
      <c r="C978" s="95"/>
      <c r="D978" s="95"/>
      <c r="E978" s="95"/>
      <c r="F978" s="92"/>
      <c r="J978" t="s">
        <v>1352</v>
      </c>
      <c r="K978" t="s">
        <v>1353</v>
      </c>
      <c r="M978" s="83"/>
      <c r="N978" s="83"/>
      <c r="O978" s="82"/>
    </row>
    <row r="979" spans="1:18" x14ac:dyDescent="0.25">
      <c r="A979" s="87"/>
      <c r="B979" s="98"/>
      <c r="C979" s="95"/>
      <c r="D979" s="95"/>
      <c r="E979" s="95"/>
      <c r="F979" s="92"/>
      <c r="J979" t="s">
        <v>1281</v>
      </c>
      <c r="M979" s="83"/>
      <c r="N979" s="83"/>
      <c r="O979" s="82"/>
    </row>
    <row r="980" spans="1:18" x14ac:dyDescent="0.25">
      <c r="A980" s="81"/>
      <c r="B980" s="99"/>
      <c r="C980" s="96"/>
      <c r="D980" s="96"/>
      <c r="E980" s="96"/>
      <c r="F980" s="93"/>
      <c r="J980" t="s">
        <v>458</v>
      </c>
      <c r="K980" t="s">
        <v>1354</v>
      </c>
      <c r="M980" s="73"/>
      <c r="N980" s="73"/>
      <c r="O980" s="71"/>
    </row>
    <row r="981" spans="1:18" s="6" customFormat="1" x14ac:dyDescent="0.25">
      <c r="A981" s="80">
        <f>$A$2+257</f>
        <v>258</v>
      </c>
      <c r="B981" s="97">
        <v>13</v>
      </c>
      <c r="C981" s="94">
        <v>4</v>
      </c>
      <c r="D981" s="94">
        <v>1729</v>
      </c>
      <c r="E981" s="94">
        <f>F981-5</f>
        <v>429</v>
      </c>
      <c r="F981" s="91">
        <v>434</v>
      </c>
      <c r="G981" s="20" t="s">
        <v>1357</v>
      </c>
      <c r="H981" s="20" t="s">
        <v>908</v>
      </c>
      <c r="I981" s="6" t="s">
        <v>27</v>
      </c>
      <c r="J981" s="6" t="s">
        <v>1357</v>
      </c>
      <c r="L981" s="6" t="s">
        <v>1351</v>
      </c>
      <c r="M981" s="72" t="s">
        <v>108</v>
      </c>
      <c r="N981" s="72" t="s">
        <v>1356</v>
      </c>
      <c r="O981" s="70" t="s">
        <v>1359</v>
      </c>
      <c r="Q981" s="8"/>
      <c r="R981" s="8"/>
    </row>
    <row r="982" spans="1:18" x14ac:dyDescent="0.25">
      <c r="A982" s="87"/>
      <c r="B982" s="98"/>
      <c r="C982" s="95"/>
      <c r="D982" s="95"/>
      <c r="E982" s="95"/>
      <c r="F982" s="92"/>
      <c r="G982" s="18" t="s">
        <v>1358</v>
      </c>
      <c r="I982" t="s">
        <v>27</v>
      </c>
      <c r="J982" t="s">
        <v>1358</v>
      </c>
      <c r="M982" s="83"/>
      <c r="N982" s="83"/>
      <c r="O982" s="82"/>
    </row>
    <row r="983" spans="1:18" x14ac:dyDescent="0.25">
      <c r="A983" s="81"/>
      <c r="B983" s="99"/>
      <c r="C983" s="96"/>
      <c r="D983" s="96"/>
      <c r="E983" s="96"/>
      <c r="F983" s="93"/>
      <c r="J983" t="s">
        <v>908</v>
      </c>
      <c r="M983" s="73"/>
      <c r="N983" s="73"/>
      <c r="O983" s="71"/>
    </row>
    <row r="984" spans="1:18" s="6" customFormat="1" x14ac:dyDescent="0.25">
      <c r="A984" s="80">
        <f>$A$2+258</f>
        <v>259</v>
      </c>
      <c r="B984" s="97">
        <v>13</v>
      </c>
      <c r="C984" s="94">
        <v>4</v>
      </c>
      <c r="D984" s="94">
        <v>1729</v>
      </c>
      <c r="E984" s="94">
        <f>F984-5</f>
        <v>429</v>
      </c>
      <c r="F984" s="91">
        <v>434</v>
      </c>
      <c r="G984" s="20"/>
      <c r="H984" s="20"/>
      <c r="J984" s="6" t="s">
        <v>1360</v>
      </c>
      <c r="M984" s="72" t="s">
        <v>108</v>
      </c>
      <c r="N984" s="72" t="s">
        <v>9</v>
      </c>
      <c r="O984" s="70" t="s">
        <v>1362</v>
      </c>
      <c r="Q984" s="8"/>
      <c r="R984" s="8"/>
    </row>
    <row r="985" spans="1:18" x14ac:dyDescent="0.25">
      <c r="A985" s="87"/>
      <c r="B985" s="98"/>
      <c r="C985" s="95"/>
      <c r="D985" s="95"/>
      <c r="E985" s="95"/>
      <c r="F985" s="92"/>
      <c r="J985" t="s">
        <v>908</v>
      </c>
      <c r="M985" s="83"/>
      <c r="N985" s="83"/>
      <c r="O985" s="82"/>
    </row>
    <row r="986" spans="1:18" x14ac:dyDescent="0.25">
      <c r="A986" s="87"/>
      <c r="B986" s="98"/>
      <c r="C986" s="95"/>
      <c r="D986" s="95"/>
      <c r="E986" s="95"/>
      <c r="F986" s="92"/>
      <c r="J986" t="s">
        <v>1263</v>
      </c>
      <c r="M986" s="83"/>
      <c r="N986" s="83"/>
      <c r="O986" s="82"/>
    </row>
    <row r="987" spans="1:18" x14ac:dyDescent="0.25">
      <c r="A987" s="81"/>
      <c r="B987" s="99"/>
      <c r="C987" s="96"/>
      <c r="D987" s="96"/>
      <c r="E987" s="96"/>
      <c r="F987" s="93"/>
      <c r="I987" t="s">
        <v>27</v>
      </c>
      <c r="J987" t="s">
        <v>239</v>
      </c>
      <c r="L987" t="s">
        <v>1361</v>
      </c>
      <c r="M987" s="73"/>
      <c r="N987" s="73"/>
      <c r="O987" s="71"/>
    </row>
    <row r="988" spans="1:18" s="6" customFormat="1" ht="15" customHeight="1" x14ac:dyDescent="0.25">
      <c r="A988" s="80">
        <f>$A$2+259</f>
        <v>260</v>
      </c>
      <c r="B988" s="97">
        <v>29</v>
      </c>
      <c r="C988" s="94">
        <v>4</v>
      </c>
      <c r="D988" s="94">
        <v>1729</v>
      </c>
      <c r="E988" s="94">
        <f>F988-5</f>
        <v>430</v>
      </c>
      <c r="F988" s="91">
        <v>435</v>
      </c>
      <c r="G988" s="20" t="s">
        <v>1363</v>
      </c>
      <c r="H988" s="20"/>
      <c r="I988" s="6" t="s">
        <v>27</v>
      </c>
      <c r="J988" s="6" t="s">
        <v>37</v>
      </c>
      <c r="M988" s="72" t="s">
        <v>108</v>
      </c>
      <c r="N988" s="72" t="s">
        <v>9</v>
      </c>
      <c r="O988" s="70" t="s">
        <v>1368</v>
      </c>
      <c r="Q988" s="8"/>
      <c r="R988" s="8"/>
    </row>
    <row r="989" spans="1:18" x14ac:dyDescent="0.25">
      <c r="A989" s="87"/>
      <c r="B989" s="98"/>
      <c r="C989" s="95"/>
      <c r="D989" s="95"/>
      <c r="E989" s="95"/>
      <c r="F989" s="92"/>
      <c r="J989" t="s">
        <v>1364</v>
      </c>
      <c r="M989" s="83"/>
      <c r="N989" s="83"/>
      <c r="O989" s="82"/>
    </row>
    <row r="990" spans="1:18" x14ac:dyDescent="0.25">
      <c r="A990" s="87"/>
      <c r="B990" s="98"/>
      <c r="C990" s="95"/>
      <c r="D990" s="95"/>
      <c r="E990" s="95"/>
      <c r="F990" s="92"/>
      <c r="J990" t="s">
        <v>458</v>
      </c>
      <c r="L990" t="s">
        <v>1365</v>
      </c>
      <c r="M990" s="83"/>
      <c r="N990" s="83"/>
      <c r="O990" s="82"/>
    </row>
    <row r="991" spans="1:18" x14ac:dyDescent="0.25">
      <c r="A991" s="87"/>
      <c r="B991" s="98"/>
      <c r="C991" s="95"/>
      <c r="D991" s="95"/>
      <c r="E991" s="95"/>
      <c r="F991" s="92"/>
      <c r="J991" t="s">
        <v>1363</v>
      </c>
      <c r="M991" s="83"/>
      <c r="N991" s="83"/>
      <c r="O991" s="82"/>
    </row>
    <row r="992" spans="1:18" x14ac:dyDescent="0.25">
      <c r="A992" s="87"/>
      <c r="B992" s="98"/>
      <c r="C992" s="95"/>
      <c r="D992" s="95"/>
      <c r="E992" s="95"/>
      <c r="F992" s="92"/>
      <c r="J992" t="s">
        <v>1263</v>
      </c>
      <c r="L992" t="s">
        <v>1264</v>
      </c>
      <c r="M992" s="83"/>
      <c r="N992" s="83"/>
      <c r="O992" s="82"/>
    </row>
    <row r="993" spans="1:18" x14ac:dyDescent="0.25">
      <c r="A993" s="87"/>
      <c r="B993" s="98"/>
      <c r="C993" s="95"/>
      <c r="D993" s="95"/>
      <c r="E993" s="95"/>
      <c r="F993" s="92"/>
      <c r="I993" t="s">
        <v>27</v>
      </c>
      <c r="J993" t="s">
        <v>1366</v>
      </c>
      <c r="M993" s="83"/>
      <c r="N993" s="83"/>
      <c r="O993" s="82"/>
    </row>
    <row r="994" spans="1:18" x14ac:dyDescent="0.25">
      <c r="A994" s="81"/>
      <c r="B994" s="99"/>
      <c r="C994" s="96"/>
      <c r="D994" s="96"/>
      <c r="E994" s="96"/>
      <c r="F994" s="93"/>
      <c r="I994" t="s">
        <v>27</v>
      </c>
      <c r="J994" t="s">
        <v>1367</v>
      </c>
      <c r="M994" s="73"/>
      <c r="N994" s="73"/>
      <c r="O994" s="71"/>
    </row>
    <row r="995" spans="1:18" s="6" customFormat="1" x14ac:dyDescent="0.25">
      <c r="A995" s="80">
        <f>$A$2+260</f>
        <v>261</v>
      </c>
      <c r="B995" s="97">
        <v>29</v>
      </c>
      <c r="C995" s="94">
        <v>4</v>
      </c>
      <c r="D995" s="94">
        <v>1729</v>
      </c>
      <c r="E995" s="94">
        <f>F995-5</f>
        <v>430</v>
      </c>
      <c r="F995" s="91">
        <v>435</v>
      </c>
      <c r="G995" s="20" t="s">
        <v>908</v>
      </c>
      <c r="H995" s="20" t="s">
        <v>1369</v>
      </c>
      <c r="J995" s="6" t="s">
        <v>1369</v>
      </c>
      <c r="K995" s="6" t="s">
        <v>550</v>
      </c>
      <c r="L995" s="6" t="s">
        <v>1370</v>
      </c>
      <c r="M995" s="72" t="s">
        <v>1372</v>
      </c>
      <c r="N995" s="72" t="s">
        <v>53</v>
      </c>
      <c r="O995" s="70" t="s">
        <v>1373</v>
      </c>
      <c r="Q995" s="8"/>
      <c r="R995" s="8"/>
    </row>
    <row r="996" spans="1:18" x14ac:dyDescent="0.25">
      <c r="A996" s="87"/>
      <c r="B996" s="98"/>
      <c r="C996" s="95"/>
      <c r="D996" s="95"/>
      <c r="E996" s="95"/>
      <c r="F996" s="92"/>
      <c r="J996" t="s">
        <v>908</v>
      </c>
      <c r="M996" s="83"/>
      <c r="N996" s="83"/>
      <c r="O996" s="82"/>
    </row>
    <row r="997" spans="1:18" x14ac:dyDescent="0.25">
      <c r="A997" s="81"/>
      <c r="B997" s="99"/>
      <c r="C997" s="96"/>
      <c r="D997" s="96"/>
      <c r="E997" s="96"/>
      <c r="F997" s="93"/>
      <c r="J997" t="s">
        <v>1371</v>
      </c>
      <c r="M997" s="73"/>
      <c r="N997" s="73"/>
      <c r="O997" s="71"/>
    </row>
    <row r="998" spans="1:18" s="6" customFormat="1" ht="15.75" customHeight="1" x14ac:dyDescent="0.25">
      <c r="A998" s="25">
        <f>$A$2+261</f>
        <v>262</v>
      </c>
      <c r="B998" s="4">
        <v>29</v>
      </c>
      <c r="C998" s="4">
        <v>4</v>
      </c>
      <c r="D998" s="4">
        <v>1729</v>
      </c>
      <c r="E998" s="4">
        <f>F998-5</f>
        <v>431</v>
      </c>
      <c r="F998" s="3">
        <v>436</v>
      </c>
      <c r="G998" s="20"/>
      <c r="H998" s="20"/>
      <c r="J998" s="6" t="s">
        <v>1374</v>
      </c>
      <c r="L998" s="6" t="s">
        <v>389</v>
      </c>
      <c r="M998" s="27" t="s">
        <v>1376</v>
      </c>
      <c r="N998" s="27" t="s">
        <v>1375</v>
      </c>
      <c r="O998" s="35"/>
      <c r="Q998" s="8"/>
      <c r="R998" s="8"/>
    </row>
    <row r="999" spans="1:18" s="6" customFormat="1" x14ac:dyDescent="0.25">
      <c r="A999" s="80">
        <f>$A$2+262</f>
        <v>263</v>
      </c>
      <c r="B999" s="97">
        <v>4</v>
      </c>
      <c r="C999" s="94">
        <v>5</v>
      </c>
      <c r="D999" s="94">
        <v>1729</v>
      </c>
      <c r="E999" s="94">
        <f>F999-5</f>
        <v>432</v>
      </c>
      <c r="F999" s="91">
        <v>437</v>
      </c>
      <c r="G999" s="20" t="s">
        <v>860</v>
      </c>
      <c r="H999" s="20" t="s">
        <v>1377</v>
      </c>
      <c r="I999" s="6" t="s">
        <v>27</v>
      </c>
      <c r="J999" s="6" t="s">
        <v>860</v>
      </c>
      <c r="M999" s="72" t="s">
        <v>159</v>
      </c>
      <c r="N999" s="72" t="s">
        <v>20</v>
      </c>
      <c r="O999" s="70" t="s">
        <v>1381</v>
      </c>
      <c r="Q999" s="8"/>
      <c r="R999" s="8"/>
    </row>
    <row r="1000" spans="1:18" x14ac:dyDescent="0.25">
      <c r="A1000" s="87"/>
      <c r="B1000" s="98"/>
      <c r="C1000" s="95"/>
      <c r="D1000" s="95"/>
      <c r="E1000" s="95"/>
      <c r="F1000" s="92"/>
      <c r="I1000" t="s">
        <v>31</v>
      </c>
      <c r="J1000" t="s">
        <v>1377</v>
      </c>
      <c r="M1000" s="83"/>
      <c r="N1000" s="83"/>
      <c r="O1000" s="82"/>
    </row>
    <row r="1001" spans="1:18" x14ac:dyDescent="0.25">
      <c r="A1001" s="81"/>
      <c r="B1001" s="99"/>
      <c r="C1001" s="96"/>
      <c r="D1001" s="96"/>
      <c r="E1001" s="96"/>
      <c r="F1001" s="93"/>
      <c r="J1001" t="s">
        <v>869</v>
      </c>
      <c r="K1001" t="s">
        <v>1379</v>
      </c>
      <c r="L1001" t="s">
        <v>1378</v>
      </c>
      <c r="M1001" s="73"/>
      <c r="N1001" s="73"/>
      <c r="O1001" s="71"/>
      <c r="P1001" t="s">
        <v>1380</v>
      </c>
    </row>
    <row r="1002" spans="1:18" s="6" customFormat="1" x14ac:dyDescent="0.25">
      <c r="A1002" s="80">
        <f>$A$2+263</f>
        <v>264</v>
      </c>
      <c r="B1002" s="97">
        <v>4</v>
      </c>
      <c r="C1002" s="94">
        <v>5</v>
      </c>
      <c r="D1002" s="94">
        <v>1729</v>
      </c>
      <c r="E1002" s="94">
        <f>F1002-5</f>
        <v>432</v>
      </c>
      <c r="F1002" s="91">
        <v>437</v>
      </c>
      <c r="G1002" s="20" t="s">
        <v>908</v>
      </c>
      <c r="H1002" s="20" t="s">
        <v>1382</v>
      </c>
      <c r="J1002" s="6" t="s">
        <v>908</v>
      </c>
      <c r="M1002" s="72" t="s">
        <v>1383</v>
      </c>
      <c r="N1002" s="72" t="s">
        <v>84</v>
      </c>
      <c r="O1002" s="70" t="s">
        <v>1384</v>
      </c>
      <c r="Q1002" s="8"/>
      <c r="R1002" s="8"/>
    </row>
    <row r="1003" spans="1:18" x14ac:dyDescent="0.25">
      <c r="A1003" s="81"/>
      <c r="B1003" s="99"/>
      <c r="C1003" s="96"/>
      <c r="D1003" s="96"/>
      <c r="E1003" s="96"/>
      <c r="F1003" s="93"/>
      <c r="J1003" t="s">
        <v>1382</v>
      </c>
      <c r="M1003" s="73"/>
      <c r="N1003" s="73"/>
      <c r="O1003" s="71"/>
    </row>
    <row r="1004" spans="1:18" s="6" customFormat="1" x14ac:dyDescent="0.25">
      <c r="A1004" s="80">
        <f>$A$2+264</f>
        <v>265</v>
      </c>
      <c r="B1004" s="97">
        <v>4</v>
      </c>
      <c r="C1004" s="94">
        <v>5</v>
      </c>
      <c r="D1004" s="94">
        <v>1729</v>
      </c>
      <c r="E1004" s="94">
        <f>F1004-5</f>
        <v>432</v>
      </c>
      <c r="F1004" s="91">
        <v>437</v>
      </c>
      <c r="G1004" s="20" t="s">
        <v>654</v>
      </c>
      <c r="H1004" s="20" t="s">
        <v>1387</v>
      </c>
      <c r="J1004" s="6" t="s">
        <v>654</v>
      </c>
      <c r="M1004" s="72" t="s">
        <v>206</v>
      </c>
      <c r="N1004" s="72" t="s">
        <v>53</v>
      </c>
      <c r="O1004" s="70" t="s">
        <v>1385</v>
      </c>
      <c r="P1004" s="6" t="s">
        <v>1386</v>
      </c>
      <c r="Q1004" s="8"/>
      <c r="R1004" s="8"/>
    </row>
    <row r="1005" spans="1:18" x14ac:dyDescent="0.25">
      <c r="A1005" s="81"/>
      <c r="B1005" s="99"/>
      <c r="C1005" s="96"/>
      <c r="D1005" s="96"/>
      <c r="E1005" s="96"/>
      <c r="F1005" s="93"/>
      <c r="J1005" t="s">
        <v>458</v>
      </c>
      <c r="K1005" t="s">
        <v>815</v>
      </c>
      <c r="M1005" s="73"/>
      <c r="N1005" s="73"/>
      <c r="O1005" s="71"/>
    </row>
    <row r="1006" spans="1:18" s="6" customFormat="1" x14ac:dyDescent="0.25">
      <c r="A1006" s="80">
        <f>$A$2+265</f>
        <v>266</v>
      </c>
      <c r="B1006" s="97">
        <v>4</v>
      </c>
      <c r="C1006" s="94">
        <v>5</v>
      </c>
      <c r="D1006" s="94">
        <v>1729</v>
      </c>
      <c r="E1006" s="94">
        <f>F1006-5</f>
        <v>433</v>
      </c>
      <c r="F1006" s="91">
        <v>438</v>
      </c>
      <c r="G1006" s="20" t="s">
        <v>1388</v>
      </c>
      <c r="H1006" s="20"/>
      <c r="J1006" s="6" t="s">
        <v>1389</v>
      </c>
      <c r="M1006" s="72" t="s">
        <v>1347</v>
      </c>
      <c r="N1006" s="72" t="s">
        <v>53</v>
      </c>
      <c r="O1006" s="70" t="s">
        <v>1393</v>
      </c>
      <c r="Q1006" s="8"/>
      <c r="R1006" s="8"/>
    </row>
    <row r="1007" spans="1:18" x14ac:dyDescent="0.25">
      <c r="A1007" s="87"/>
      <c r="B1007" s="98"/>
      <c r="C1007" s="95"/>
      <c r="D1007" s="95"/>
      <c r="E1007" s="95"/>
      <c r="F1007" s="92"/>
      <c r="J1007" t="s">
        <v>1390</v>
      </c>
      <c r="M1007" s="83"/>
      <c r="N1007" s="83"/>
      <c r="O1007" s="82"/>
    </row>
    <row r="1008" spans="1:18" x14ac:dyDescent="0.25">
      <c r="A1008" s="81"/>
      <c r="B1008" s="99"/>
      <c r="C1008" s="96"/>
      <c r="D1008" s="96"/>
      <c r="E1008" s="96"/>
      <c r="F1008" s="93"/>
      <c r="J1008" t="s">
        <v>458</v>
      </c>
      <c r="K1008" t="s">
        <v>1391</v>
      </c>
      <c r="L1008" t="s">
        <v>1392</v>
      </c>
      <c r="M1008" s="73"/>
      <c r="N1008" s="73"/>
      <c r="O1008" s="71"/>
    </row>
    <row r="1009" spans="1:18" s="6" customFormat="1" x14ac:dyDescent="0.25">
      <c r="A1009" s="80">
        <f>$A$2+266</f>
        <v>267</v>
      </c>
      <c r="B1009" s="97">
        <v>4</v>
      </c>
      <c r="C1009" s="94">
        <v>5</v>
      </c>
      <c r="D1009" s="94">
        <v>1729</v>
      </c>
      <c r="E1009" s="94">
        <f>F1009-5</f>
        <v>433</v>
      </c>
      <c r="F1009" s="91">
        <v>438</v>
      </c>
      <c r="G1009" s="20" t="s">
        <v>1394</v>
      </c>
      <c r="H1009" s="20" t="s">
        <v>883</v>
      </c>
      <c r="J1009" s="6" t="s">
        <v>1394</v>
      </c>
      <c r="M1009" s="72" t="s">
        <v>527</v>
      </c>
      <c r="N1009" s="72" t="s">
        <v>53</v>
      </c>
      <c r="O1009" s="70" t="s">
        <v>1395</v>
      </c>
      <c r="Q1009" s="8"/>
      <c r="R1009" s="8"/>
    </row>
    <row r="1010" spans="1:18" x14ac:dyDescent="0.25">
      <c r="A1010" s="81"/>
      <c r="B1010" s="99"/>
      <c r="C1010" s="96"/>
      <c r="D1010" s="96"/>
      <c r="E1010" s="96"/>
      <c r="F1010" s="93"/>
      <c r="J1010" t="s">
        <v>883</v>
      </c>
      <c r="M1010" s="73"/>
      <c r="N1010" s="73"/>
      <c r="O1010" s="71"/>
    </row>
    <row r="1011" spans="1:18" s="6" customFormat="1" x14ac:dyDescent="0.25">
      <c r="A1011" s="80">
        <f>$A$2+267</f>
        <v>268</v>
      </c>
      <c r="B1011" s="97">
        <v>4</v>
      </c>
      <c r="C1011" s="94">
        <v>5</v>
      </c>
      <c r="D1011" s="94">
        <v>1729</v>
      </c>
      <c r="E1011" s="94">
        <f>F1011-5</f>
        <v>433</v>
      </c>
      <c r="F1011" s="91">
        <v>438</v>
      </c>
      <c r="G1011" s="20" t="s">
        <v>243</v>
      </c>
      <c r="H1011" s="20" t="s">
        <v>1103</v>
      </c>
      <c r="I1011" s="6" t="s">
        <v>27</v>
      </c>
      <c r="J1011" s="6" t="s">
        <v>243</v>
      </c>
      <c r="M1011" s="72" t="s">
        <v>1396</v>
      </c>
      <c r="N1011" s="72" t="s">
        <v>20</v>
      </c>
      <c r="O1011" s="70" t="s">
        <v>1397</v>
      </c>
      <c r="Q1011" s="8"/>
      <c r="R1011" s="8"/>
    </row>
    <row r="1012" spans="1:18" x14ac:dyDescent="0.25">
      <c r="A1012" s="81"/>
      <c r="B1012" s="99"/>
      <c r="C1012" s="96"/>
      <c r="D1012" s="96"/>
      <c r="E1012" s="96"/>
      <c r="F1012" s="93"/>
      <c r="I1012" t="s">
        <v>27</v>
      </c>
      <c r="J1012" t="s">
        <v>1103</v>
      </c>
      <c r="M1012" s="73"/>
      <c r="N1012" s="73"/>
      <c r="O1012" s="71"/>
    </row>
    <row r="1013" spans="1:18" s="6" customFormat="1" x14ac:dyDescent="0.25">
      <c r="A1013" s="80">
        <f>$A$2+268</f>
        <v>269</v>
      </c>
      <c r="B1013" s="97">
        <v>4</v>
      </c>
      <c r="C1013" s="94">
        <v>5</v>
      </c>
      <c r="D1013" s="94">
        <v>1729</v>
      </c>
      <c r="E1013" s="94">
        <f>F1013-5</f>
        <v>433</v>
      </c>
      <c r="F1013" s="91">
        <v>438</v>
      </c>
      <c r="G1013" s="20" t="s">
        <v>1398</v>
      </c>
      <c r="H1013" s="20" t="s">
        <v>59</v>
      </c>
      <c r="I1013" s="6" t="s">
        <v>103</v>
      </c>
      <c r="J1013" s="6" t="s">
        <v>1398</v>
      </c>
      <c r="M1013" s="72" t="s">
        <v>1230</v>
      </c>
      <c r="N1013" s="72" t="s">
        <v>20</v>
      </c>
      <c r="O1013" s="70" t="s">
        <v>1399</v>
      </c>
      <c r="Q1013" s="8"/>
      <c r="R1013" s="8"/>
    </row>
    <row r="1014" spans="1:18" x14ac:dyDescent="0.25">
      <c r="A1014" s="81"/>
      <c r="B1014" s="99"/>
      <c r="C1014" s="96"/>
      <c r="D1014" s="96"/>
      <c r="E1014" s="96"/>
      <c r="F1014" s="93"/>
      <c r="I1014" t="s">
        <v>103</v>
      </c>
      <c r="J1014" t="s">
        <v>59</v>
      </c>
      <c r="M1014" s="73"/>
      <c r="N1014" s="73"/>
      <c r="O1014" s="71"/>
    </row>
    <row r="1015" spans="1:18" s="6" customFormat="1" x14ac:dyDescent="0.25">
      <c r="A1015" s="80">
        <f>$A$2+269</f>
        <v>270</v>
      </c>
      <c r="B1015" s="97">
        <v>6</v>
      </c>
      <c r="C1015" s="94">
        <v>5</v>
      </c>
      <c r="D1015" s="94">
        <v>1729</v>
      </c>
      <c r="E1015" s="94">
        <f>F1015-5</f>
        <v>433</v>
      </c>
      <c r="F1015" s="91">
        <v>438</v>
      </c>
      <c r="G1015" s="20" t="s">
        <v>908</v>
      </c>
      <c r="H1015" s="20" t="s">
        <v>1197</v>
      </c>
      <c r="I1015" s="6" t="s">
        <v>27</v>
      </c>
      <c r="J1015" s="6" t="s">
        <v>908</v>
      </c>
      <c r="M1015" s="72" t="s">
        <v>244</v>
      </c>
      <c r="N1015" s="72" t="s">
        <v>9</v>
      </c>
      <c r="O1015" s="70" t="s">
        <v>1405</v>
      </c>
      <c r="Q1015" s="8"/>
      <c r="R1015" s="8"/>
    </row>
    <row r="1016" spans="1:18" x14ac:dyDescent="0.25">
      <c r="A1016" s="87"/>
      <c r="B1016" s="98"/>
      <c r="C1016" s="95"/>
      <c r="D1016" s="95"/>
      <c r="E1016" s="95"/>
      <c r="F1016" s="92"/>
      <c r="I1016" t="s">
        <v>27</v>
      </c>
      <c r="J1016" t="s">
        <v>1197</v>
      </c>
      <c r="M1016" s="83"/>
      <c r="N1016" s="83"/>
      <c r="O1016" s="82"/>
    </row>
    <row r="1017" spans="1:18" x14ac:dyDescent="0.25">
      <c r="A1017" s="87"/>
      <c r="B1017" s="98"/>
      <c r="C1017" s="95"/>
      <c r="D1017" s="95"/>
      <c r="E1017" s="95"/>
      <c r="F1017" s="92"/>
      <c r="I1017" t="s">
        <v>29</v>
      </c>
      <c r="J1017" t="s">
        <v>1400</v>
      </c>
      <c r="K1017" t="s">
        <v>1401</v>
      </c>
      <c r="M1017" s="83"/>
      <c r="N1017" s="83"/>
      <c r="O1017" s="82"/>
    </row>
    <row r="1018" spans="1:18" x14ac:dyDescent="0.25">
      <c r="A1018" s="87"/>
      <c r="B1018" s="98"/>
      <c r="C1018" s="95"/>
      <c r="D1018" s="95"/>
      <c r="E1018" s="95"/>
      <c r="F1018" s="92"/>
      <c r="J1018" t="s">
        <v>1024</v>
      </c>
      <c r="M1018" s="83"/>
      <c r="N1018" s="83"/>
      <c r="O1018" s="82"/>
    </row>
    <row r="1019" spans="1:18" x14ac:dyDescent="0.25">
      <c r="A1019" s="87"/>
      <c r="B1019" s="98"/>
      <c r="C1019" s="95"/>
      <c r="D1019" s="95"/>
      <c r="E1019" s="95"/>
      <c r="F1019" s="92"/>
      <c r="J1019" t="s">
        <v>458</v>
      </c>
      <c r="K1019" t="s">
        <v>1402</v>
      </c>
      <c r="M1019" s="83"/>
      <c r="N1019" s="83"/>
      <c r="O1019" s="82"/>
    </row>
    <row r="1020" spans="1:18" x14ac:dyDescent="0.25">
      <c r="A1020" s="87"/>
      <c r="B1020" s="98"/>
      <c r="C1020" s="95"/>
      <c r="D1020" s="95"/>
      <c r="E1020" s="95"/>
      <c r="F1020" s="92"/>
      <c r="I1020" t="s">
        <v>27</v>
      </c>
      <c r="J1020" t="s">
        <v>1403</v>
      </c>
      <c r="M1020" s="83"/>
      <c r="N1020" s="83"/>
      <c r="O1020" s="82"/>
    </row>
    <row r="1021" spans="1:18" x14ac:dyDescent="0.25">
      <c r="A1021" s="81"/>
      <c r="B1021" s="99"/>
      <c r="C1021" s="96"/>
      <c r="D1021" s="96"/>
      <c r="E1021" s="96"/>
      <c r="F1021" s="93"/>
      <c r="I1021" t="s">
        <v>27</v>
      </c>
      <c r="J1021" t="s">
        <v>1404</v>
      </c>
      <c r="M1021" s="73"/>
      <c r="N1021" s="73"/>
      <c r="O1021" s="71"/>
    </row>
    <row r="1022" spans="1:18" s="6" customFormat="1" x14ac:dyDescent="0.25">
      <c r="A1022" s="80">
        <f>$A$2+270</f>
        <v>271</v>
      </c>
      <c r="B1022" s="97">
        <v>6</v>
      </c>
      <c r="C1022" s="94">
        <v>5</v>
      </c>
      <c r="D1022" s="94">
        <v>1729</v>
      </c>
      <c r="E1022" s="94">
        <f>F1022-5</f>
        <v>434</v>
      </c>
      <c r="F1022" s="91">
        <v>439</v>
      </c>
      <c r="G1022" s="20" t="s">
        <v>32</v>
      </c>
      <c r="H1022" s="20" t="s">
        <v>1408</v>
      </c>
      <c r="I1022" s="6" t="s">
        <v>27</v>
      </c>
      <c r="J1022" s="6" t="s">
        <v>32</v>
      </c>
      <c r="M1022" s="72" t="s">
        <v>1406</v>
      </c>
      <c r="N1022" s="72" t="s">
        <v>20</v>
      </c>
      <c r="O1022" s="70" t="s">
        <v>1407</v>
      </c>
      <c r="Q1022" s="8"/>
      <c r="R1022" s="8"/>
    </row>
    <row r="1023" spans="1:18" x14ac:dyDescent="0.25">
      <c r="A1023" s="81"/>
      <c r="B1023" s="99"/>
      <c r="C1023" s="96"/>
      <c r="D1023" s="96"/>
      <c r="E1023" s="96"/>
      <c r="F1023" s="93"/>
      <c r="J1023" t="s">
        <v>1408</v>
      </c>
      <c r="M1023" s="73"/>
      <c r="N1023" s="73"/>
      <c r="O1023" s="71"/>
    </row>
    <row r="1024" spans="1:18" s="6" customFormat="1" x14ac:dyDescent="0.25">
      <c r="A1024" s="80">
        <f>$A$2+271</f>
        <v>272</v>
      </c>
      <c r="B1024" s="97">
        <v>6</v>
      </c>
      <c r="C1024" s="94">
        <v>5</v>
      </c>
      <c r="D1024" s="94">
        <v>1729</v>
      </c>
      <c r="E1024" s="94">
        <f>F1024-5</f>
        <v>434</v>
      </c>
      <c r="F1024" s="91">
        <v>439</v>
      </c>
      <c r="G1024" s="20" t="s">
        <v>1409</v>
      </c>
      <c r="H1024" s="20" t="s">
        <v>87</v>
      </c>
      <c r="J1024" s="6" t="s">
        <v>1409</v>
      </c>
      <c r="M1024" s="72" t="s">
        <v>667</v>
      </c>
      <c r="N1024" s="72" t="s">
        <v>53</v>
      </c>
      <c r="O1024" s="70" t="s">
        <v>1410</v>
      </c>
      <c r="Q1024" s="8"/>
      <c r="R1024" s="8"/>
    </row>
    <row r="1025" spans="1:18" x14ac:dyDescent="0.25">
      <c r="A1025" s="81"/>
      <c r="B1025" s="99"/>
      <c r="C1025" s="96"/>
      <c r="D1025" s="96"/>
      <c r="E1025" s="96"/>
      <c r="F1025" s="93"/>
      <c r="J1025" t="s">
        <v>87</v>
      </c>
      <c r="M1025" s="73"/>
      <c r="N1025" s="73"/>
      <c r="O1025" s="71"/>
    </row>
    <row r="1026" spans="1:18" s="6" customFormat="1" x14ac:dyDescent="0.25">
      <c r="A1026" s="80">
        <f>$A$2+272</f>
        <v>273</v>
      </c>
      <c r="B1026" s="97">
        <v>6</v>
      </c>
      <c r="C1026" s="94">
        <v>5</v>
      </c>
      <c r="D1026" s="94">
        <v>1729</v>
      </c>
      <c r="E1026" s="94">
        <f>F1026-5</f>
        <v>434</v>
      </c>
      <c r="F1026" s="91">
        <v>439</v>
      </c>
      <c r="G1026" s="20" t="s">
        <v>243</v>
      </c>
      <c r="H1026" s="20" t="s">
        <v>1103</v>
      </c>
      <c r="I1026" s="6" t="s">
        <v>27</v>
      </c>
      <c r="J1026" s="6" t="s">
        <v>243</v>
      </c>
      <c r="M1026" s="72" t="s">
        <v>1422</v>
      </c>
      <c r="N1026" s="72" t="s">
        <v>9</v>
      </c>
      <c r="O1026" s="70" t="s">
        <v>1423</v>
      </c>
      <c r="P1026" s="6" t="s">
        <v>1421</v>
      </c>
      <c r="Q1026" s="8"/>
      <c r="R1026" s="8"/>
    </row>
    <row r="1027" spans="1:18" x14ac:dyDescent="0.25">
      <c r="A1027" s="87"/>
      <c r="B1027" s="98"/>
      <c r="C1027" s="95"/>
      <c r="D1027" s="95"/>
      <c r="E1027" s="95"/>
      <c r="F1027" s="92"/>
      <c r="J1027" t="s">
        <v>1103</v>
      </c>
      <c r="M1027" s="83"/>
      <c r="N1027" s="83"/>
      <c r="O1027" s="82"/>
      <c r="P1027" t="s">
        <v>1413</v>
      </c>
    </row>
    <row r="1028" spans="1:18" x14ac:dyDescent="0.25">
      <c r="A1028" s="87"/>
      <c r="B1028" s="98"/>
      <c r="C1028" s="95"/>
      <c r="D1028" s="95"/>
      <c r="E1028" s="95"/>
      <c r="F1028" s="92"/>
      <c r="I1028" t="s">
        <v>27</v>
      </c>
      <c r="J1028" t="s">
        <v>916</v>
      </c>
      <c r="M1028" s="83"/>
      <c r="N1028" s="83"/>
      <c r="O1028" s="82"/>
    </row>
    <row r="1029" spans="1:18" x14ac:dyDescent="0.25">
      <c r="A1029" s="87"/>
      <c r="B1029" s="98"/>
      <c r="C1029" s="95"/>
      <c r="D1029" s="95"/>
      <c r="E1029" s="95"/>
      <c r="F1029" s="92"/>
      <c r="J1029" t="s">
        <v>798</v>
      </c>
      <c r="M1029" s="83"/>
      <c r="N1029" s="83"/>
      <c r="O1029" s="82"/>
    </row>
    <row r="1030" spans="1:18" x14ac:dyDescent="0.25">
      <c r="A1030" s="87"/>
      <c r="B1030" s="98"/>
      <c r="C1030" s="95"/>
      <c r="D1030" s="95"/>
      <c r="E1030" s="95"/>
      <c r="F1030" s="92"/>
      <c r="I1030" t="s">
        <v>27</v>
      </c>
      <c r="J1030" t="s">
        <v>1420</v>
      </c>
      <c r="M1030" s="83"/>
      <c r="N1030" s="83"/>
      <c r="O1030" s="82"/>
    </row>
    <row r="1031" spans="1:18" x14ac:dyDescent="0.25">
      <c r="A1031" s="87"/>
      <c r="B1031" s="98"/>
      <c r="C1031" s="95"/>
      <c r="D1031" s="95"/>
      <c r="E1031" s="95"/>
      <c r="F1031" s="92"/>
      <c r="J1031" t="s">
        <v>458</v>
      </c>
      <c r="L1031" t="s">
        <v>1411</v>
      </c>
      <c r="M1031" s="83"/>
      <c r="N1031" s="83"/>
      <c r="O1031" s="82"/>
      <c r="P1031" t="s">
        <v>1412</v>
      </c>
    </row>
    <row r="1032" spans="1:18" x14ac:dyDescent="0.25">
      <c r="A1032" s="87"/>
      <c r="B1032" s="98"/>
      <c r="C1032" s="95"/>
      <c r="D1032" s="95"/>
      <c r="E1032" s="95"/>
      <c r="F1032" s="92"/>
      <c r="J1032" t="s">
        <v>1414</v>
      </c>
      <c r="L1032" t="s">
        <v>1415</v>
      </c>
      <c r="M1032" s="83"/>
      <c r="N1032" s="83"/>
      <c r="O1032" s="82"/>
      <c r="P1032" t="s">
        <v>1416</v>
      </c>
    </row>
    <row r="1033" spans="1:18" x14ac:dyDescent="0.25">
      <c r="A1033" s="81"/>
      <c r="B1033" s="99"/>
      <c r="C1033" s="96"/>
      <c r="D1033" s="96"/>
      <c r="E1033" s="96"/>
      <c r="F1033" s="93"/>
      <c r="J1033" t="s">
        <v>1417</v>
      </c>
      <c r="L1033" t="s">
        <v>1418</v>
      </c>
      <c r="M1033" s="73"/>
      <c r="N1033" s="73"/>
      <c r="O1033" s="71"/>
      <c r="P1033" t="s">
        <v>1419</v>
      </c>
    </row>
    <row r="1034" spans="1:18" s="6" customFormat="1" ht="16.5" customHeight="1" x14ac:dyDescent="0.25">
      <c r="A1034" s="25">
        <f>$A$2+273</f>
        <v>274</v>
      </c>
      <c r="B1034" s="4">
        <v>6</v>
      </c>
      <c r="C1034" s="4">
        <v>5</v>
      </c>
      <c r="D1034" s="4">
        <v>1729</v>
      </c>
      <c r="E1034" s="4">
        <f>F1034-5</f>
        <v>435</v>
      </c>
      <c r="F1034" s="3">
        <v>440</v>
      </c>
      <c r="G1034" s="20" t="s">
        <v>1103</v>
      </c>
      <c r="H1034" s="20"/>
      <c r="J1034" s="6" t="s">
        <v>1103</v>
      </c>
      <c r="M1034" s="27" t="s">
        <v>1424</v>
      </c>
      <c r="N1034" s="27" t="s">
        <v>84</v>
      </c>
      <c r="O1034" s="35"/>
      <c r="Q1034" s="8"/>
      <c r="R1034" s="8"/>
    </row>
    <row r="1035" spans="1:18" s="6" customFormat="1" x14ac:dyDescent="0.25">
      <c r="A1035" s="80">
        <f>$A$2+274</f>
        <v>275</v>
      </c>
      <c r="B1035" s="97">
        <v>6</v>
      </c>
      <c r="C1035" s="94">
        <v>5</v>
      </c>
      <c r="D1035" s="94">
        <v>1729</v>
      </c>
      <c r="E1035" s="94">
        <f>F1035-5</f>
        <v>435</v>
      </c>
      <c r="F1035" s="91">
        <v>440</v>
      </c>
      <c r="G1035" s="20" t="s">
        <v>860</v>
      </c>
      <c r="H1035" s="20" t="s">
        <v>869</v>
      </c>
      <c r="I1035" s="6" t="s">
        <v>27</v>
      </c>
      <c r="J1035" s="6" t="s">
        <v>860</v>
      </c>
      <c r="K1035" s="6" t="s">
        <v>1084</v>
      </c>
      <c r="M1035" s="72" t="s">
        <v>159</v>
      </c>
      <c r="N1035" s="72" t="s">
        <v>9</v>
      </c>
      <c r="O1035" s="70" t="s">
        <v>1427</v>
      </c>
      <c r="Q1035" s="8"/>
      <c r="R1035" s="8"/>
    </row>
    <row r="1036" spans="1:18" x14ac:dyDescent="0.25">
      <c r="A1036" s="87"/>
      <c r="B1036" s="98"/>
      <c r="C1036" s="95"/>
      <c r="D1036" s="95"/>
      <c r="E1036" s="95"/>
      <c r="F1036" s="92"/>
      <c r="I1036" t="s">
        <v>27</v>
      </c>
      <c r="J1036" t="s">
        <v>869</v>
      </c>
      <c r="M1036" s="83"/>
      <c r="N1036" s="83"/>
      <c r="O1036" s="82"/>
    </row>
    <row r="1037" spans="1:18" x14ac:dyDescent="0.25">
      <c r="A1037" s="87"/>
      <c r="B1037" s="98"/>
      <c r="C1037" s="95"/>
      <c r="D1037" s="95"/>
      <c r="E1037" s="95"/>
      <c r="F1037" s="92"/>
      <c r="I1037" t="s">
        <v>31</v>
      </c>
      <c r="J1037" t="s">
        <v>1425</v>
      </c>
      <c r="M1037" s="83"/>
      <c r="N1037" s="83"/>
      <c r="O1037" s="82"/>
    </row>
    <row r="1038" spans="1:18" x14ac:dyDescent="0.25">
      <c r="A1038" s="87"/>
      <c r="B1038" s="98"/>
      <c r="C1038" s="95"/>
      <c r="D1038" s="95"/>
      <c r="E1038" s="95"/>
      <c r="F1038" s="92"/>
      <c r="J1038" t="s">
        <v>869</v>
      </c>
      <c r="K1038" t="s">
        <v>1379</v>
      </c>
      <c r="L1038" t="s">
        <v>1426</v>
      </c>
      <c r="M1038" s="83"/>
      <c r="N1038" s="83"/>
      <c r="O1038" s="82"/>
    </row>
    <row r="1039" spans="1:18" x14ac:dyDescent="0.25">
      <c r="A1039" s="81"/>
      <c r="B1039" s="99"/>
      <c r="C1039" s="96"/>
      <c r="D1039" s="96"/>
      <c r="E1039" s="96"/>
      <c r="F1039" s="93"/>
      <c r="J1039" t="s">
        <v>1377</v>
      </c>
      <c r="M1039" s="73"/>
      <c r="N1039" s="73"/>
      <c r="O1039" s="71"/>
    </row>
    <row r="1040" spans="1:18" s="6" customFormat="1" x14ac:dyDescent="0.25">
      <c r="A1040" s="80">
        <f>$A$2+275</f>
        <v>276</v>
      </c>
      <c r="B1040" s="97">
        <v>11</v>
      </c>
      <c r="C1040" s="94">
        <v>5</v>
      </c>
      <c r="D1040" s="94">
        <v>1729</v>
      </c>
      <c r="E1040" s="94">
        <f>F1040-5</f>
        <v>435</v>
      </c>
      <c r="F1040" s="91">
        <v>440</v>
      </c>
      <c r="G1040" s="20" t="s">
        <v>860</v>
      </c>
      <c r="H1040" s="20" t="s">
        <v>869</v>
      </c>
      <c r="I1040" s="6" t="s">
        <v>27</v>
      </c>
      <c r="J1040" s="6" t="s">
        <v>860</v>
      </c>
      <c r="M1040" s="72" t="s">
        <v>108</v>
      </c>
      <c r="N1040" s="72" t="s">
        <v>9</v>
      </c>
      <c r="O1040" s="70" t="s">
        <v>1432</v>
      </c>
      <c r="P1040" s="6" t="s">
        <v>1430</v>
      </c>
      <c r="Q1040" s="8"/>
      <c r="R1040" s="8"/>
    </row>
    <row r="1041" spans="1:18" x14ac:dyDescent="0.25">
      <c r="A1041" s="87"/>
      <c r="B1041" s="98"/>
      <c r="C1041" s="95"/>
      <c r="D1041" s="95"/>
      <c r="E1041" s="95"/>
      <c r="F1041" s="92"/>
      <c r="I1041" t="s">
        <v>27</v>
      </c>
      <c r="J1041" t="s">
        <v>869</v>
      </c>
      <c r="M1041" s="83"/>
      <c r="N1041" s="83"/>
      <c r="O1041" s="82"/>
    </row>
    <row r="1042" spans="1:18" x14ac:dyDescent="0.25">
      <c r="A1042" s="87"/>
      <c r="B1042" s="98"/>
      <c r="C1042" s="95"/>
      <c r="D1042" s="95"/>
      <c r="E1042" s="95"/>
      <c r="F1042" s="92"/>
      <c r="I1042" t="s">
        <v>339</v>
      </c>
      <c r="J1042" t="s">
        <v>1428</v>
      </c>
      <c r="M1042" s="83"/>
      <c r="N1042" s="83"/>
      <c r="O1042" s="82"/>
    </row>
    <row r="1043" spans="1:18" x14ac:dyDescent="0.25">
      <c r="A1043" s="87"/>
      <c r="B1043" s="98"/>
      <c r="C1043" s="95"/>
      <c r="D1043" s="95"/>
      <c r="E1043" s="95"/>
      <c r="F1043" s="92"/>
      <c r="J1043" t="s">
        <v>869</v>
      </c>
      <c r="K1043" t="s">
        <v>1379</v>
      </c>
      <c r="L1043" t="s">
        <v>1426</v>
      </c>
      <c r="M1043" s="83"/>
      <c r="N1043" s="83"/>
      <c r="O1043" s="82"/>
      <c r="P1043" t="s">
        <v>1429</v>
      </c>
    </row>
    <row r="1044" spans="1:18" x14ac:dyDescent="0.25">
      <c r="A1044" s="87"/>
      <c r="B1044" s="98"/>
      <c r="C1044" s="95"/>
      <c r="D1044" s="95"/>
      <c r="E1044" s="95"/>
      <c r="F1044" s="92"/>
      <c r="I1044" t="s">
        <v>27</v>
      </c>
      <c r="J1044" t="s">
        <v>286</v>
      </c>
      <c r="M1044" s="83"/>
      <c r="N1044" s="83"/>
      <c r="O1044" s="82"/>
    </row>
    <row r="1045" spans="1:18" x14ac:dyDescent="0.25">
      <c r="A1045" s="81"/>
      <c r="B1045" s="99"/>
      <c r="C1045" s="96"/>
      <c r="D1045" s="96"/>
      <c r="E1045" s="96"/>
      <c r="F1045" s="93"/>
      <c r="I1045" t="s">
        <v>27</v>
      </c>
      <c r="J1045" t="s">
        <v>1431</v>
      </c>
      <c r="M1045" s="73"/>
      <c r="N1045" s="73"/>
      <c r="O1045" s="71"/>
    </row>
    <row r="1046" spans="1:18" s="6" customFormat="1" x14ac:dyDescent="0.25">
      <c r="A1046" s="80">
        <f>$A$2+276</f>
        <v>277</v>
      </c>
      <c r="B1046" s="97">
        <v>11</v>
      </c>
      <c r="C1046" s="94">
        <v>5</v>
      </c>
      <c r="D1046" s="94">
        <v>1729</v>
      </c>
      <c r="E1046" s="94">
        <f>F1046-5</f>
        <v>435</v>
      </c>
      <c r="F1046" s="91">
        <v>440</v>
      </c>
      <c r="G1046" s="20"/>
      <c r="H1046" s="20" t="s">
        <v>869</v>
      </c>
      <c r="I1046" s="6" t="s">
        <v>27</v>
      </c>
      <c r="J1046" s="6" t="s">
        <v>869</v>
      </c>
      <c r="M1046" s="72" t="s">
        <v>159</v>
      </c>
      <c r="N1046" s="72" t="s">
        <v>9</v>
      </c>
      <c r="O1046" s="70" t="s">
        <v>1442</v>
      </c>
      <c r="Q1046" s="8"/>
      <c r="R1046" s="8"/>
    </row>
    <row r="1047" spans="1:18" x14ac:dyDescent="0.25">
      <c r="A1047" s="87"/>
      <c r="B1047" s="98"/>
      <c r="C1047" s="95"/>
      <c r="D1047" s="95"/>
      <c r="E1047" s="95"/>
      <c r="F1047" s="92"/>
      <c r="I1047" t="s">
        <v>31</v>
      </c>
      <c r="J1047" t="s">
        <v>1433</v>
      </c>
      <c r="M1047" s="83"/>
      <c r="N1047" s="83"/>
      <c r="O1047" s="82"/>
    </row>
    <row r="1048" spans="1:18" x14ac:dyDescent="0.25">
      <c r="A1048" s="87"/>
      <c r="B1048" s="98"/>
      <c r="C1048" s="95"/>
      <c r="D1048" s="95"/>
      <c r="E1048" s="95"/>
      <c r="F1048" s="92"/>
      <c r="J1048" t="s">
        <v>1434</v>
      </c>
      <c r="M1048" s="83"/>
      <c r="N1048" s="83"/>
      <c r="O1048" s="82"/>
    </row>
    <row r="1049" spans="1:18" x14ac:dyDescent="0.25">
      <c r="A1049" s="87"/>
      <c r="B1049" s="98"/>
      <c r="C1049" s="95"/>
      <c r="D1049" s="95"/>
      <c r="E1049" s="95"/>
      <c r="F1049" s="92"/>
      <c r="J1049" t="s">
        <v>1435</v>
      </c>
      <c r="M1049" s="83"/>
      <c r="N1049" s="83"/>
      <c r="O1049" s="82"/>
    </row>
    <row r="1050" spans="1:18" x14ac:dyDescent="0.25">
      <c r="A1050" s="87"/>
      <c r="B1050" s="98"/>
      <c r="C1050" s="95"/>
      <c r="D1050" s="95"/>
      <c r="E1050" s="95"/>
      <c r="F1050" s="92"/>
      <c r="J1050" t="s">
        <v>1436</v>
      </c>
      <c r="M1050" s="83"/>
      <c r="N1050" s="83"/>
      <c r="O1050" s="82"/>
    </row>
    <row r="1051" spans="1:18" x14ac:dyDescent="0.25">
      <c r="A1051" s="87"/>
      <c r="B1051" s="98"/>
      <c r="C1051" s="95"/>
      <c r="D1051" s="95"/>
      <c r="E1051" s="95"/>
      <c r="F1051" s="92"/>
      <c r="J1051" t="s">
        <v>869</v>
      </c>
      <c r="K1051" t="s">
        <v>1379</v>
      </c>
      <c r="L1051" t="s">
        <v>1426</v>
      </c>
      <c r="M1051" s="83"/>
      <c r="N1051" s="83"/>
      <c r="O1051" s="82"/>
    </row>
    <row r="1052" spans="1:18" x14ac:dyDescent="0.25">
      <c r="A1052" s="81"/>
      <c r="B1052" s="99"/>
      <c r="C1052" s="96"/>
      <c r="D1052" s="96"/>
      <c r="E1052" s="96"/>
      <c r="F1052" s="93"/>
      <c r="J1052" t="s">
        <v>1437</v>
      </c>
      <c r="M1052" s="73"/>
      <c r="N1052" s="73"/>
      <c r="O1052" s="71"/>
    </row>
    <row r="1053" spans="1:18" s="6" customFormat="1" x14ac:dyDescent="0.25">
      <c r="A1053" s="80">
        <f>$A$2+277</f>
        <v>278</v>
      </c>
      <c r="B1053" s="97">
        <v>11</v>
      </c>
      <c r="C1053" s="94">
        <v>5</v>
      </c>
      <c r="D1053" s="94">
        <v>1729</v>
      </c>
      <c r="E1053" s="94">
        <f>F1053-5</f>
        <v>436</v>
      </c>
      <c r="F1053" s="91">
        <v>441</v>
      </c>
      <c r="G1053" s="20" t="s">
        <v>1438</v>
      </c>
      <c r="H1053" s="20" t="s">
        <v>869</v>
      </c>
      <c r="J1053" s="6" t="s">
        <v>1438</v>
      </c>
      <c r="K1053" s="6" t="s">
        <v>1439</v>
      </c>
      <c r="M1053" s="72" t="s">
        <v>159</v>
      </c>
      <c r="N1053" s="72" t="s">
        <v>53</v>
      </c>
      <c r="O1053" s="70" t="s">
        <v>1441</v>
      </c>
      <c r="Q1053" s="8"/>
      <c r="R1053" s="8"/>
    </row>
    <row r="1054" spans="1:18" x14ac:dyDescent="0.25">
      <c r="A1054" s="87"/>
      <c r="B1054" s="98"/>
      <c r="C1054" s="95"/>
      <c r="D1054" s="95"/>
      <c r="E1054" s="95"/>
      <c r="F1054" s="92"/>
      <c r="H1054" s="18" t="s">
        <v>1377</v>
      </c>
      <c r="J1054" t="s">
        <v>869</v>
      </c>
      <c r="M1054" s="83"/>
      <c r="N1054" s="83"/>
      <c r="O1054" s="82"/>
    </row>
    <row r="1055" spans="1:18" x14ac:dyDescent="0.25">
      <c r="A1055" s="87"/>
      <c r="B1055" s="98"/>
      <c r="C1055" s="95"/>
      <c r="D1055" s="95"/>
      <c r="E1055" s="95"/>
      <c r="F1055" s="92"/>
      <c r="J1055" t="s">
        <v>1377</v>
      </c>
      <c r="M1055" s="83"/>
      <c r="N1055" s="83"/>
      <c r="O1055" s="82"/>
    </row>
    <row r="1056" spans="1:18" x14ac:dyDescent="0.25">
      <c r="A1056" s="81"/>
      <c r="B1056" s="99"/>
      <c r="C1056" s="96"/>
      <c r="D1056" s="96"/>
      <c r="E1056" s="96"/>
      <c r="F1056" s="93"/>
      <c r="J1056" t="s">
        <v>869</v>
      </c>
      <c r="K1056" t="s">
        <v>1379</v>
      </c>
      <c r="L1056" t="s">
        <v>1426</v>
      </c>
      <c r="M1056" s="73"/>
      <c r="N1056" s="73"/>
      <c r="O1056" s="71"/>
      <c r="P1056" t="s">
        <v>1440</v>
      </c>
    </row>
    <row r="1057" spans="1:18" s="6" customFormat="1" x14ac:dyDescent="0.25">
      <c r="A1057" s="80">
        <f>$A$2+278</f>
        <v>279</v>
      </c>
      <c r="B1057" s="97">
        <v>11</v>
      </c>
      <c r="C1057" s="94">
        <v>5</v>
      </c>
      <c r="D1057" s="94">
        <v>1729</v>
      </c>
      <c r="E1057" s="94">
        <f>F1057-5</f>
        <v>436</v>
      </c>
      <c r="F1057" s="91">
        <v>441</v>
      </c>
      <c r="G1057" s="20"/>
      <c r="H1057" s="20"/>
      <c r="J1057" s="6" t="s">
        <v>1197</v>
      </c>
      <c r="M1057" s="72" t="s">
        <v>1383</v>
      </c>
      <c r="N1057" s="72" t="s">
        <v>84</v>
      </c>
      <c r="O1057" s="70"/>
      <c r="Q1057" s="8"/>
      <c r="R1057" s="8"/>
    </row>
    <row r="1058" spans="1:18" x14ac:dyDescent="0.25">
      <c r="A1058" s="81"/>
      <c r="B1058" s="99"/>
      <c r="C1058" s="96"/>
      <c r="D1058" s="96"/>
      <c r="E1058" s="96"/>
      <c r="F1058" s="93"/>
      <c r="J1058" t="s">
        <v>908</v>
      </c>
      <c r="M1058" s="73"/>
      <c r="N1058" s="73"/>
      <c r="O1058" s="71"/>
    </row>
    <row r="1059" spans="1:18" s="6" customFormat="1" ht="14.25" customHeight="1" x14ac:dyDescent="0.25">
      <c r="A1059" s="25">
        <f>$A$2+279</f>
        <v>280</v>
      </c>
      <c r="B1059" s="4">
        <v>11</v>
      </c>
      <c r="C1059" s="4">
        <v>5</v>
      </c>
      <c r="D1059" s="4">
        <v>1729</v>
      </c>
      <c r="E1059" s="4">
        <f>F1059-5</f>
        <v>436</v>
      </c>
      <c r="F1059" s="3">
        <v>441</v>
      </c>
      <c r="G1059" s="20"/>
      <c r="H1059" s="20"/>
      <c r="J1059" s="6" t="s">
        <v>1197</v>
      </c>
      <c r="M1059" s="27" t="s">
        <v>244</v>
      </c>
      <c r="N1059" s="27" t="s">
        <v>984</v>
      </c>
      <c r="O1059" s="35" t="s">
        <v>1443</v>
      </c>
      <c r="Q1059" s="8"/>
      <c r="R1059" s="8"/>
    </row>
    <row r="1060" spans="1:18" s="6" customFormat="1" x14ac:dyDescent="0.25">
      <c r="A1060" s="80">
        <f>$A$2+280</f>
        <v>281</v>
      </c>
      <c r="B1060" s="97">
        <v>11</v>
      </c>
      <c r="C1060" s="94">
        <v>5</v>
      </c>
      <c r="D1060" s="94">
        <v>1729</v>
      </c>
      <c r="E1060" s="94">
        <f>F1060-5</f>
        <v>437</v>
      </c>
      <c r="F1060" s="91">
        <v>442</v>
      </c>
      <c r="G1060" s="20" t="s">
        <v>1444</v>
      </c>
      <c r="H1060" s="20" t="s">
        <v>1445</v>
      </c>
      <c r="J1060" s="6" t="s">
        <v>1444</v>
      </c>
      <c r="M1060" s="72" t="s">
        <v>244</v>
      </c>
      <c r="N1060" s="72" t="s">
        <v>53</v>
      </c>
      <c r="O1060" s="70" t="s">
        <v>1446</v>
      </c>
      <c r="Q1060" s="8"/>
      <c r="R1060" s="8"/>
    </row>
    <row r="1061" spans="1:18" x14ac:dyDescent="0.25">
      <c r="A1061" s="81"/>
      <c r="B1061" s="99"/>
      <c r="C1061" s="96"/>
      <c r="D1061" s="96"/>
      <c r="E1061" s="96"/>
      <c r="F1061" s="93"/>
      <c r="I1061" t="s">
        <v>339</v>
      </c>
      <c r="J1061" t="s">
        <v>1445</v>
      </c>
      <c r="M1061" s="73"/>
      <c r="N1061" s="73"/>
      <c r="O1061" s="71"/>
    </row>
    <row r="1062" spans="1:18" s="6" customFormat="1" x14ac:dyDescent="0.25">
      <c r="A1062" s="80">
        <f>$A$2+281</f>
        <v>282</v>
      </c>
      <c r="B1062" s="97">
        <v>11</v>
      </c>
      <c r="C1062" s="94">
        <v>5</v>
      </c>
      <c r="D1062" s="94">
        <v>1729</v>
      </c>
      <c r="E1062" s="94">
        <f>F1062-5</f>
        <v>437</v>
      </c>
      <c r="F1062" s="91">
        <v>442</v>
      </c>
      <c r="G1062" s="20" t="s">
        <v>1197</v>
      </c>
      <c r="H1062" s="20" t="s">
        <v>908</v>
      </c>
      <c r="I1062" s="6" t="s">
        <v>27</v>
      </c>
      <c r="J1062" s="6" t="s">
        <v>1197</v>
      </c>
      <c r="M1062" s="72" t="s">
        <v>1447</v>
      </c>
      <c r="N1062" s="72" t="s">
        <v>9</v>
      </c>
      <c r="O1062" s="70" t="s">
        <v>1449</v>
      </c>
      <c r="Q1062" s="8"/>
      <c r="R1062" s="8"/>
    </row>
    <row r="1063" spans="1:18" x14ac:dyDescent="0.25">
      <c r="A1063" s="87"/>
      <c r="B1063" s="98"/>
      <c r="C1063" s="95"/>
      <c r="D1063" s="95"/>
      <c r="E1063" s="95"/>
      <c r="F1063" s="92"/>
      <c r="J1063" t="s">
        <v>1041</v>
      </c>
      <c r="L1063" t="s">
        <v>1040</v>
      </c>
      <c r="M1063" s="83"/>
      <c r="N1063" s="83"/>
      <c r="O1063" s="82"/>
    </row>
    <row r="1064" spans="1:18" x14ac:dyDescent="0.25">
      <c r="A1064" s="87"/>
      <c r="B1064" s="98"/>
      <c r="C1064" s="95"/>
      <c r="D1064" s="95"/>
      <c r="E1064" s="95"/>
      <c r="F1064" s="92"/>
      <c r="I1064" t="s">
        <v>27</v>
      </c>
      <c r="J1064" t="s">
        <v>908</v>
      </c>
      <c r="M1064" s="83"/>
      <c r="N1064" s="83"/>
      <c r="O1064" s="82"/>
    </row>
    <row r="1065" spans="1:18" x14ac:dyDescent="0.25">
      <c r="A1065" s="87"/>
      <c r="B1065" s="98"/>
      <c r="C1065" s="95"/>
      <c r="D1065" s="95"/>
      <c r="E1065" s="95"/>
      <c r="F1065" s="92"/>
      <c r="I1065" t="s">
        <v>27</v>
      </c>
      <c r="J1065" t="s">
        <v>603</v>
      </c>
      <c r="M1065" s="83"/>
      <c r="N1065" s="83"/>
      <c r="O1065" s="82"/>
    </row>
    <row r="1066" spans="1:18" x14ac:dyDescent="0.25">
      <c r="A1066" s="87"/>
      <c r="B1066" s="98"/>
      <c r="C1066" s="95"/>
      <c r="D1066" s="95"/>
      <c r="E1066" s="95"/>
      <c r="F1066" s="92"/>
      <c r="I1066" t="s">
        <v>27</v>
      </c>
      <c r="J1066" t="s">
        <v>940</v>
      </c>
      <c r="M1066" s="83"/>
      <c r="N1066" s="83"/>
      <c r="O1066" s="82"/>
    </row>
    <row r="1067" spans="1:18" x14ac:dyDescent="0.25">
      <c r="A1067" s="81"/>
      <c r="B1067" s="99"/>
      <c r="C1067" s="96"/>
      <c r="D1067" s="96"/>
      <c r="E1067" s="96"/>
      <c r="F1067" s="93"/>
      <c r="J1067" t="s">
        <v>458</v>
      </c>
      <c r="K1067" t="s">
        <v>1448</v>
      </c>
      <c r="M1067" s="73"/>
      <c r="N1067" s="73"/>
      <c r="O1067" s="71"/>
    </row>
    <row r="1068" spans="1:18" s="6" customFormat="1" x14ac:dyDescent="0.25">
      <c r="A1068" s="80">
        <f>$A$2+282</f>
        <v>283</v>
      </c>
      <c r="B1068" s="97">
        <v>16</v>
      </c>
      <c r="C1068" s="94">
        <v>5</v>
      </c>
      <c r="D1068" s="94">
        <v>1729</v>
      </c>
      <c r="E1068" s="94">
        <f>F1068-5</f>
        <v>438</v>
      </c>
      <c r="F1068" s="91">
        <v>443</v>
      </c>
      <c r="G1068" s="20" t="s">
        <v>1452</v>
      </c>
      <c r="H1068" s="20" t="s">
        <v>1450</v>
      </c>
      <c r="I1068" s="6" t="s">
        <v>27</v>
      </c>
      <c r="J1068" s="6" t="s">
        <v>1450</v>
      </c>
      <c r="L1068" s="6" t="s">
        <v>1451</v>
      </c>
      <c r="M1068" s="72" t="s">
        <v>13</v>
      </c>
      <c r="N1068" s="72" t="s">
        <v>20</v>
      </c>
      <c r="O1068" s="70" t="s">
        <v>1454</v>
      </c>
      <c r="Q1068" s="8"/>
      <c r="R1068" s="88" t="s">
        <v>1456</v>
      </c>
    </row>
    <row r="1069" spans="1:18" x14ac:dyDescent="0.25">
      <c r="A1069" s="87"/>
      <c r="B1069" s="98"/>
      <c r="C1069" s="95"/>
      <c r="D1069" s="95"/>
      <c r="E1069" s="95"/>
      <c r="F1069" s="92"/>
      <c r="I1069" t="s">
        <v>103</v>
      </c>
      <c r="J1069" t="s">
        <v>458</v>
      </c>
      <c r="K1069" t="s">
        <v>1453</v>
      </c>
      <c r="M1069" s="83"/>
      <c r="N1069" s="83"/>
      <c r="O1069" s="82"/>
      <c r="R1069" s="89"/>
    </row>
    <row r="1070" spans="1:18" x14ac:dyDescent="0.25">
      <c r="A1070" s="87"/>
      <c r="B1070" s="98"/>
      <c r="C1070" s="95"/>
      <c r="D1070" s="95"/>
      <c r="E1070" s="95"/>
      <c r="F1070" s="92"/>
      <c r="J1070" t="s">
        <v>458</v>
      </c>
      <c r="L1070" t="s">
        <v>704</v>
      </c>
      <c r="M1070" s="83"/>
      <c r="N1070" s="83"/>
      <c r="O1070" s="82"/>
      <c r="R1070" s="89"/>
    </row>
    <row r="1071" spans="1:18" x14ac:dyDescent="0.25">
      <c r="A1071" s="81"/>
      <c r="B1071" s="99"/>
      <c r="C1071" s="96"/>
      <c r="D1071" s="96"/>
      <c r="E1071" s="96"/>
      <c r="F1071" s="93"/>
      <c r="J1071" t="s">
        <v>32</v>
      </c>
      <c r="M1071" s="73"/>
      <c r="N1071" s="73"/>
      <c r="O1071" s="71"/>
      <c r="R1071" s="90"/>
    </row>
    <row r="1072" spans="1:18" s="6" customFormat="1" x14ac:dyDescent="0.25">
      <c r="A1072" s="80">
        <f>$A$2+283</f>
        <v>284</v>
      </c>
      <c r="B1072" s="97">
        <v>20</v>
      </c>
      <c r="C1072" s="94">
        <v>5</v>
      </c>
      <c r="D1072" s="94">
        <v>1729</v>
      </c>
      <c r="E1072" s="94">
        <f>F1072-5</f>
        <v>439</v>
      </c>
      <c r="F1072" s="91">
        <v>444</v>
      </c>
      <c r="G1072" s="20"/>
      <c r="H1072" s="20"/>
      <c r="J1072" s="6" t="s">
        <v>1457</v>
      </c>
      <c r="K1072" s="6" t="s">
        <v>1458</v>
      </c>
      <c r="M1072" s="72" t="s">
        <v>1463</v>
      </c>
      <c r="N1072" s="72" t="s">
        <v>9</v>
      </c>
      <c r="O1072" s="70" t="s">
        <v>1462</v>
      </c>
      <c r="Q1072" s="8"/>
      <c r="R1072" s="88"/>
    </row>
    <row r="1073" spans="1:18" x14ac:dyDescent="0.25">
      <c r="A1073" s="87"/>
      <c r="B1073" s="98"/>
      <c r="C1073" s="95"/>
      <c r="D1073" s="95"/>
      <c r="E1073" s="95"/>
      <c r="F1073" s="92"/>
      <c r="J1073" t="s">
        <v>1459</v>
      </c>
      <c r="K1073" t="s">
        <v>1282</v>
      </c>
      <c r="M1073" s="83"/>
      <c r="N1073" s="83"/>
      <c r="O1073" s="82"/>
      <c r="R1073" s="89"/>
    </row>
    <row r="1074" spans="1:18" x14ac:dyDescent="0.25">
      <c r="A1074" s="87"/>
      <c r="B1074" s="98"/>
      <c r="C1074" s="95"/>
      <c r="D1074" s="95"/>
      <c r="E1074" s="95"/>
      <c r="F1074" s="92"/>
      <c r="J1074" t="s">
        <v>602</v>
      </c>
      <c r="M1074" s="83"/>
      <c r="N1074" s="83"/>
      <c r="O1074" s="82"/>
      <c r="R1074" s="89"/>
    </row>
    <row r="1075" spans="1:18" x14ac:dyDescent="0.25">
      <c r="A1075" s="87"/>
      <c r="B1075" s="98"/>
      <c r="C1075" s="95"/>
      <c r="D1075" s="95"/>
      <c r="E1075" s="95"/>
      <c r="F1075" s="92"/>
      <c r="J1075" t="s">
        <v>1461</v>
      </c>
      <c r="K1075" t="s">
        <v>1460</v>
      </c>
      <c r="M1075" s="83"/>
      <c r="N1075" s="83"/>
      <c r="O1075" s="82"/>
      <c r="R1075" s="89"/>
    </row>
    <row r="1076" spans="1:18" x14ac:dyDescent="0.25">
      <c r="A1076" s="81"/>
      <c r="B1076" s="99"/>
      <c r="C1076" s="96"/>
      <c r="D1076" s="96"/>
      <c r="E1076" s="96"/>
      <c r="F1076" s="93"/>
      <c r="J1076" t="s">
        <v>1464</v>
      </c>
      <c r="M1076" s="73"/>
      <c r="N1076" s="73"/>
      <c r="O1076" s="71"/>
      <c r="R1076" s="90"/>
    </row>
    <row r="1077" spans="1:18" s="6" customFormat="1" x14ac:dyDescent="0.25">
      <c r="A1077" s="80">
        <f>$A$2+284</f>
        <v>285</v>
      </c>
      <c r="B1077" s="97">
        <v>20</v>
      </c>
      <c r="C1077" s="94">
        <v>5</v>
      </c>
      <c r="D1077" s="94">
        <v>1729</v>
      </c>
      <c r="E1077" s="94">
        <f>F1077-5</f>
        <v>440</v>
      </c>
      <c r="F1077" s="91">
        <v>445</v>
      </c>
      <c r="G1077" s="20" t="s">
        <v>643</v>
      </c>
      <c r="H1077" s="20" t="s">
        <v>17</v>
      </c>
      <c r="I1077" s="6" t="s">
        <v>103</v>
      </c>
      <c r="J1077" s="6" t="s">
        <v>17</v>
      </c>
      <c r="M1077" s="72"/>
      <c r="N1077" s="72" t="s">
        <v>344</v>
      </c>
      <c r="O1077" s="70"/>
      <c r="Q1077" s="8"/>
      <c r="R1077" s="88"/>
    </row>
    <row r="1078" spans="1:18" x14ac:dyDescent="0.25">
      <c r="A1078" s="81"/>
      <c r="B1078" s="99"/>
      <c r="C1078" s="96"/>
      <c r="D1078" s="96"/>
      <c r="E1078" s="96"/>
      <c r="F1078" s="93"/>
      <c r="I1078" t="s">
        <v>103</v>
      </c>
      <c r="J1078" t="s">
        <v>643</v>
      </c>
      <c r="M1078" s="73"/>
      <c r="N1078" s="73"/>
      <c r="O1078" s="71"/>
      <c r="R1078" s="90"/>
    </row>
    <row r="1079" spans="1:18" s="6" customFormat="1" x14ac:dyDescent="0.25">
      <c r="A1079" s="80">
        <f>$A$2+285</f>
        <v>286</v>
      </c>
      <c r="B1079" s="97">
        <v>20</v>
      </c>
      <c r="C1079" s="94">
        <v>5</v>
      </c>
      <c r="D1079" s="94">
        <v>1729</v>
      </c>
      <c r="E1079" s="94">
        <f>F1079-5</f>
        <v>440</v>
      </c>
      <c r="F1079" s="91">
        <v>445</v>
      </c>
      <c r="G1079" s="20" t="s">
        <v>570</v>
      </c>
      <c r="H1079" s="20" t="s">
        <v>1465</v>
      </c>
      <c r="J1079" s="6" t="s">
        <v>570</v>
      </c>
      <c r="M1079" s="72" t="s">
        <v>1466</v>
      </c>
      <c r="N1079" s="72" t="s">
        <v>53</v>
      </c>
      <c r="O1079" s="70" t="s">
        <v>1467</v>
      </c>
      <c r="Q1079" s="8"/>
      <c r="R1079" s="88" t="s">
        <v>1456</v>
      </c>
    </row>
    <row r="1080" spans="1:18" x14ac:dyDescent="0.25">
      <c r="A1080" s="81"/>
      <c r="B1080" s="99"/>
      <c r="C1080" s="96"/>
      <c r="D1080" s="96"/>
      <c r="E1080" s="96"/>
      <c r="F1080" s="93"/>
      <c r="J1080" t="s">
        <v>1465</v>
      </c>
      <c r="M1080" s="73"/>
      <c r="N1080" s="73"/>
      <c r="O1080" s="71"/>
      <c r="R1080" s="90"/>
    </row>
    <row r="1081" spans="1:18" s="6" customFormat="1" x14ac:dyDescent="0.25">
      <c r="A1081" s="80">
        <f>$A$2+286</f>
        <v>287</v>
      </c>
      <c r="B1081" s="97">
        <v>16</v>
      </c>
      <c r="C1081" s="94">
        <v>6</v>
      </c>
      <c r="D1081" s="94">
        <v>1729</v>
      </c>
      <c r="E1081" s="94">
        <f>F1081-5</f>
        <v>440</v>
      </c>
      <c r="F1081" s="91">
        <v>445</v>
      </c>
      <c r="G1081" s="20" t="s">
        <v>17</v>
      </c>
      <c r="H1081" s="20" t="s">
        <v>1306</v>
      </c>
      <c r="I1081" s="6" t="s">
        <v>103</v>
      </c>
      <c r="J1081" s="6" t="s">
        <v>17</v>
      </c>
      <c r="M1081" s="72" t="s">
        <v>13</v>
      </c>
      <c r="N1081" s="72" t="s">
        <v>20</v>
      </c>
      <c r="O1081" s="70" t="s">
        <v>1468</v>
      </c>
      <c r="Q1081" s="8"/>
      <c r="R1081" s="88" t="s">
        <v>1456</v>
      </c>
    </row>
    <row r="1082" spans="1:18" x14ac:dyDescent="0.25">
      <c r="A1082" s="81"/>
      <c r="B1082" s="99"/>
      <c r="C1082" s="96"/>
      <c r="D1082" s="96"/>
      <c r="E1082" s="96"/>
      <c r="F1082" s="93"/>
      <c r="I1082" t="s">
        <v>31</v>
      </c>
      <c r="J1082" t="s">
        <v>1306</v>
      </c>
      <c r="M1082" s="73"/>
      <c r="N1082" s="73"/>
      <c r="O1082" s="71"/>
      <c r="R1082" s="90"/>
    </row>
    <row r="1083" spans="1:18" s="6" customFormat="1" x14ac:dyDescent="0.25">
      <c r="A1083" s="80">
        <f>$A$2+287</f>
        <v>288</v>
      </c>
      <c r="B1083" s="97">
        <v>16</v>
      </c>
      <c r="C1083" s="94">
        <v>6</v>
      </c>
      <c r="D1083" s="94">
        <v>1729</v>
      </c>
      <c r="E1083" s="94">
        <f>F1083-5</f>
        <v>441</v>
      </c>
      <c r="F1083" s="91">
        <v>446</v>
      </c>
      <c r="G1083" s="20" t="s">
        <v>100</v>
      </c>
      <c r="H1083" s="20" t="s">
        <v>59</v>
      </c>
      <c r="I1083" s="6" t="s">
        <v>27</v>
      </c>
      <c r="J1083" s="6" t="s">
        <v>100</v>
      </c>
      <c r="M1083" s="72" t="s">
        <v>1470</v>
      </c>
      <c r="N1083" s="72" t="s">
        <v>1469</v>
      </c>
      <c r="O1083" s="70" t="s">
        <v>1471</v>
      </c>
      <c r="Q1083" s="8"/>
      <c r="R1083" s="8"/>
    </row>
    <row r="1084" spans="1:18" x14ac:dyDescent="0.25">
      <c r="A1084" s="81"/>
      <c r="B1084" s="99"/>
      <c r="C1084" s="96"/>
      <c r="D1084" s="96"/>
      <c r="E1084" s="96"/>
      <c r="F1084" s="93"/>
      <c r="I1084" t="s">
        <v>103</v>
      </c>
      <c r="J1084" t="s">
        <v>59</v>
      </c>
      <c r="M1084" s="73"/>
      <c r="N1084" s="73"/>
      <c r="O1084" s="71"/>
    </row>
    <row r="1085" spans="1:18" s="6" customFormat="1" x14ac:dyDescent="0.25">
      <c r="A1085" s="80">
        <f>$A$2+288</f>
        <v>289</v>
      </c>
      <c r="B1085" s="97">
        <v>16</v>
      </c>
      <c r="C1085" s="94">
        <v>6</v>
      </c>
      <c r="D1085" s="94">
        <v>1729</v>
      </c>
      <c r="E1085" s="94">
        <f>F1085-5</f>
        <v>441</v>
      </c>
      <c r="F1085" s="91">
        <v>446</v>
      </c>
      <c r="G1085" s="20" t="s">
        <v>17</v>
      </c>
      <c r="H1085" s="20" t="s">
        <v>100</v>
      </c>
      <c r="I1085" s="6" t="s">
        <v>103</v>
      </c>
      <c r="J1085" s="6" t="s">
        <v>17</v>
      </c>
      <c r="M1085" s="72" t="s">
        <v>13</v>
      </c>
      <c r="N1085" s="72" t="s">
        <v>20</v>
      </c>
      <c r="O1085" s="70" t="s">
        <v>1472</v>
      </c>
      <c r="Q1085" s="8"/>
      <c r="R1085" s="8"/>
    </row>
    <row r="1086" spans="1:18" x14ac:dyDescent="0.25">
      <c r="A1086" s="81"/>
      <c r="B1086" s="99"/>
      <c r="C1086" s="96"/>
      <c r="D1086" s="96"/>
      <c r="E1086" s="96"/>
      <c r="F1086" s="93"/>
      <c r="I1086" t="s">
        <v>27</v>
      </c>
      <c r="J1086" t="s">
        <v>100</v>
      </c>
      <c r="M1086" s="73"/>
      <c r="N1086" s="73"/>
      <c r="O1086" s="71"/>
    </row>
    <row r="1087" spans="1:18" s="6" customFormat="1" x14ac:dyDescent="0.25">
      <c r="A1087" s="80">
        <f>$A$2+289</f>
        <v>290</v>
      </c>
      <c r="B1087" s="97">
        <v>16</v>
      </c>
      <c r="C1087" s="94">
        <v>6</v>
      </c>
      <c r="D1087" s="94">
        <v>1729</v>
      </c>
      <c r="E1087" s="94">
        <f>F1087-5</f>
        <v>441</v>
      </c>
      <c r="F1087" s="91">
        <v>446</v>
      </c>
      <c r="G1087" s="20"/>
      <c r="H1087" s="20" t="s">
        <v>59</v>
      </c>
      <c r="I1087" s="6" t="s">
        <v>103</v>
      </c>
      <c r="J1087" s="6" t="s">
        <v>59</v>
      </c>
      <c r="M1087" s="72" t="s">
        <v>1473</v>
      </c>
      <c r="N1087" s="72" t="s">
        <v>20</v>
      </c>
      <c r="O1087" s="70"/>
      <c r="Q1087" s="8"/>
      <c r="R1087" s="8"/>
    </row>
    <row r="1088" spans="1:18" x14ac:dyDescent="0.25">
      <c r="A1088" s="81"/>
      <c r="B1088" s="99"/>
      <c r="C1088" s="96"/>
      <c r="D1088" s="96"/>
      <c r="E1088" s="96"/>
      <c r="F1088" s="93"/>
      <c r="H1088" s="18" t="s">
        <v>100</v>
      </c>
      <c r="I1088" t="s">
        <v>27</v>
      </c>
      <c r="J1088" t="s">
        <v>100</v>
      </c>
      <c r="M1088" s="73"/>
      <c r="N1088" s="73"/>
      <c r="O1088" s="71"/>
    </row>
    <row r="1089" spans="1:18" s="6" customFormat="1" x14ac:dyDescent="0.25">
      <c r="A1089" s="80">
        <f>$A$2+290</f>
        <v>291</v>
      </c>
      <c r="B1089" s="97">
        <v>16</v>
      </c>
      <c r="C1089" s="94">
        <v>6</v>
      </c>
      <c r="D1089" s="94">
        <v>1729</v>
      </c>
      <c r="E1089" s="94">
        <f>F1089-5</f>
        <v>441</v>
      </c>
      <c r="F1089" s="91">
        <v>446</v>
      </c>
      <c r="G1089" s="20" t="s">
        <v>1474</v>
      </c>
      <c r="H1089" s="20" t="s">
        <v>654</v>
      </c>
      <c r="J1089" s="6" t="s">
        <v>654</v>
      </c>
      <c r="K1089" s="6" t="s">
        <v>1280</v>
      </c>
      <c r="M1089" s="72" t="s">
        <v>1466</v>
      </c>
      <c r="N1089" s="72" t="s">
        <v>53</v>
      </c>
      <c r="O1089" s="70" t="s">
        <v>1475</v>
      </c>
      <c r="Q1089" s="8"/>
      <c r="R1089" s="88"/>
    </row>
    <row r="1090" spans="1:18" x14ac:dyDescent="0.25">
      <c r="A1090" s="87"/>
      <c r="B1090" s="98"/>
      <c r="C1090" s="95"/>
      <c r="D1090" s="95"/>
      <c r="E1090" s="95"/>
      <c r="F1090" s="92"/>
      <c r="J1090" t="s">
        <v>1474</v>
      </c>
      <c r="M1090" s="83"/>
      <c r="N1090" s="83"/>
      <c r="O1090" s="82"/>
      <c r="R1090" s="89"/>
    </row>
    <row r="1091" spans="1:18" x14ac:dyDescent="0.25">
      <c r="A1091" s="81"/>
      <c r="B1091" s="99"/>
      <c r="C1091" s="96"/>
      <c r="D1091" s="96"/>
      <c r="E1091" s="96"/>
      <c r="F1091" s="93"/>
      <c r="I1091" t="s">
        <v>103</v>
      </c>
      <c r="J1091" t="s">
        <v>602</v>
      </c>
      <c r="K1091" t="s">
        <v>1280</v>
      </c>
      <c r="M1091" s="73"/>
      <c r="N1091" s="73"/>
      <c r="O1091" s="71"/>
      <c r="R1091" s="90"/>
    </row>
    <row r="1092" spans="1:18" s="6" customFormat="1" x14ac:dyDescent="0.25">
      <c r="A1092" s="80">
        <f>$A$2+291</f>
        <v>292</v>
      </c>
      <c r="B1092" s="97">
        <v>17</v>
      </c>
      <c r="C1092" s="94">
        <v>6</v>
      </c>
      <c r="D1092" s="94">
        <v>1729</v>
      </c>
      <c r="E1092" s="94">
        <f>F1092-5</f>
        <v>442</v>
      </c>
      <c r="F1092" s="91">
        <v>447</v>
      </c>
      <c r="G1092" s="20" t="s">
        <v>100</v>
      </c>
      <c r="H1092" s="20" t="s">
        <v>59</v>
      </c>
      <c r="I1092" s="6" t="s">
        <v>27</v>
      </c>
      <c r="J1092" s="6" t="s">
        <v>100</v>
      </c>
      <c r="M1092" s="72" t="s">
        <v>1480</v>
      </c>
      <c r="N1092" s="72" t="s">
        <v>9</v>
      </c>
      <c r="O1092" s="70" t="s">
        <v>1481</v>
      </c>
      <c r="Q1092" s="8"/>
      <c r="R1092" s="8"/>
    </row>
    <row r="1093" spans="1:18" x14ac:dyDescent="0.25">
      <c r="A1093" s="87"/>
      <c r="B1093" s="98"/>
      <c r="C1093" s="95"/>
      <c r="D1093" s="95"/>
      <c r="E1093" s="95"/>
      <c r="F1093" s="92"/>
      <c r="I1093" t="s">
        <v>103</v>
      </c>
      <c r="J1093" t="s">
        <v>59</v>
      </c>
      <c r="M1093" s="83"/>
      <c r="N1093" s="83"/>
      <c r="O1093" s="82"/>
    </row>
    <row r="1094" spans="1:18" x14ac:dyDescent="0.25">
      <c r="A1094" s="87"/>
      <c r="B1094" s="98"/>
      <c r="C1094" s="95"/>
      <c r="D1094" s="95"/>
      <c r="E1094" s="95"/>
      <c r="F1094" s="92"/>
      <c r="J1094" t="s">
        <v>1476</v>
      </c>
      <c r="K1094" t="s">
        <v>1327</v>
      </c>
      <c r="M1094" s="83"/>
      <c r="N1094" s="83"/>
      <c r="O1094" s="82"/>
    </row>
    <row r="1095" spans="1:18" x14ac:dyDescent="0.25">
      <c r="A1095" s="87"/>
      <c r="B1095" s="98"/>
      <c r="C1095" s="95"/>
      <c r="D1095" s="95"/>
      <c r="E1095" s="95"/>
      <c r="F1095" s="92"/>
      <c r="J1095" t="s">
        <v>458</v>
      </c>
      <c r="L1095" t="s">
        <v>1477</v>
      </c>
      <c r="M1095" s="83"/>
      <c r="N1095" s="83"/>
      <c r="O1095" s="82"/>
    </row>
    <row r="1096" spans="1:18" x14ac:dyDescent="0.25">
      <c r="A1096" s="87"/>
      <c r="B1096" s="98"/>
      <c r="C1096" s="95"/>
      <c r="D1096" s="95"/>
      <c r="E1096" s="95"/>
      <c r="F1096" s="92"/>
      <c r="J1096" t="s">
        <v>458</v>
      </c>
      <c r="L1096" t="s">
        <v>1478</v>
      </c>
      <c r="M1096" s="83"/>
      <c r="N1096" s="83"/>
      <c r="O1096" s="82"/>
    </row>
    <row r="1097" spans="1:18" x14ac:dyDescent="0.25">
      <c r="A1097" s="87"/>
      <c r="B1097" s="98"/>
      <c r="C1097" s="95"/>
      <c r="D1097" s="95"/>
      <c r="E1097" s="95"/>
      <c r="F1097" s="92"/>
      <c r="J1097" t="s">
        <v>1479</v>
      </c>
      <c r="M1097" s="83"/>
      <c r="N1097" s="83"/>
      <c r="O1097" s="82"/>
    </row>
    <row r="1098" spans="1:18" x14ac:dyDescent="0.25">
      <c r="A1098" s="81"/>
      <c r="B1098" s="99"/>
      <c r="C1098" s="96"/>
      <c r="D1098" s="96"/>
      <c r="E1098" s="96"/>
      <c r="F1098" s="93"/>
      <c r="J1098" t="s">
        <v>451</v>
      </c>
      <c r="M1098" s="73"/>
      <c r="N1098" s="73"/>
      <c r="O1098" s="71"/>
    </row>
    <row r="1099" spans="1:18" s="6" customFormat="1" x14ac:dyDescent="0.25">
      <c r="A1099" s="80">
        <f>$A$2+292</f>
        <v>293</v>
      </c>
      <c r="B1099" s="97">
        <v>17</v>
      </c>
      <c r="C1099" s="94">
        <v>6</v>
      </c>
      <c r="D1099" s="94">
        <v>1729</v>
      </c>
      <c r="E1099" s="94">
        <f>F1099-5</f>
        <v>442</v>
      </c>
      <c r="F1099" s="91">
        <v>447</v>
      </c>
      <c r="G1099" s="20" t="s">
        <v>243</v>
      </c>
      <c r="H1099" s="20" t="s">
        <v>916</v>
      </c>
      <c r="I1099" s="6" t="s">
        <v>27</v>
      </c>
      <c r="J1099" s="6" t="s">
        <v>243</v>
      </c>
      <c r="M1099" s="72" t="s">
        <v>244</v>
      </c>
      <c r="N1099" s="72" t="s">
        <v>9</v>
      </c>
      <c r="O1099" s="70" t="s">
        <v>1484</v>
      </c>
      <c r="Q1099" s="8"/>
      <c r="R1099" s="88" t="s">
        <v>1456</v>
      </c>
    </row>
    <row r="1100" spans="1:18" x14ac:dyDescent="0.25">
      <c r="A1100" s="87"/>
      <c r="B1100" s="98"/>
      <c r="C1100" s="95"/>
      <c r="D1100" s="95"/>
      <c r="E1100" s="95"/>
      <c r="F1100" s="92"/>
      <c r="I1100" t="s">
        <v>27</v>
      </c>
      <c r="J1100" t="s">
        <v>916</v>
      </c>
      <c r="M1100" s="83"/>
      <c r="N1100" s="83"/>
      <c r="O1100" s="82"/>
      <c r="R1100" s="89"/>
    </row>
    <row r="1101" spans="1:18" x14ac:dyDescent="0.25">
      <c r="A1101" s="87"/>
      <c r="B1101" s="98"/>
      <c r="C1101" s="95"/>
      <c r="D1101" s="95"/>
      <c r="E1101" s="95"/>
      <c r="F1101" s="92"/>
      <c r="J1101" t="s">
        <v>1483</v>
      </c>
      <c r="M1101" s="83"/>
      <c r="N1101" s="83"/>
      <c r="O1101" s="82"/>
      <c r="R1101" s="89"/>
    </row>
    <row r="1102" spans="1:18" x14ac:dyDescent="0.25">
      <c r="A1102" s="81"/>
      <c r="B1102" s="99"/>
      <c r="C1102" s="96"/>
      <c r="D1102" s="96"/>
      <c r="E1102" s="96"/>
      <c r="F1102" s="93"/>
      <c r="J1102" t="s">
        <v>1482</v>
      </c>
      <c r="M1102" s="73"/>
      <c r="N1102" s="73"/>
      <c r="O1102" s="71"/>
      <c r="R1102" s="90"/>
    </row>
    <row r="1103" spans="1:18" s="6" customFormat="1" x14ac:dyDescent="0.25">
      <c r="A1103" s="80">
        <f>$A$2+293</f>
        <v>294</v>
      </c>
      <c r="B1103" s="97">
        <v>17</v>
      </c>
      <c r="C1103" s="94">
        <v>6</v>
      </c>
      <c r="D1103" s="94">
        <v>1729</v>
      </c>
      <c r="E1103" s="94">
        <f>F1103-5</f>
        <v>443</v>
      </c>
      <c r="F1103" s="91">
        <v>448</v>
      </c>
      <c r="G1103" s="20" t="s">
        <v>643</v>
      </c>
      <c r="H1103" s="20" t="s">
        <v>59</v>
      </c>
      <c r="I1103" s="6" t="s">
        <v>103</v>
      </c>
      <c r="J1103" s="6" t="s">
        <v>643</v>
      </c>
      <c r="M1103" s="72" t="s">
        <v>13</v>
      </c>
      <c r="N1103" s="72" t="s">
        <v>20</v>
      </c>
      <c r="O1103" s="70" t="s">
        <v>1485</v>
      </c>
      <c r="Q1103" s="8"/>
      <c r="R1103" s="8"/>
    </row>
    <row r="1104" spans="1:18" x14ac:dyDescent="0.25">
      <c r="A1104" s="87"/>
      <c r="B1104" s="98"/>
      <c r="C1104" s="95"/>
      <c r="D1104" s="95"/>
      <c r="E1104" s="95"/>
      <c r="F1104" s="92"/>
      <c r="I1104" t="s">
        <v>103</v>
      </c>
      <c r="J1104" t="s">
        <v>17</v>
      </c>
      <c r="M1104" s="83"/>
      <c r="N1104" s="83"/>
      <c r="O1104" s="82"/>
    </row>
    <row r="1105" spans="1:18" x14ac:dyDescent="0.25">
      <c r="A1105" s="87"/>
      <c r="B1105" s="98"/>
      <c r="C1105" s="95"/>
      <c r="D1105" s="95"/>
      <c r="E1105" s="95"/>
      <c r="F1105" s="92"/>
      <c r="J1105" t="s">
        <v>100</v>
      </c>
      <c r="M1105" s="83"/>
      <c r="N1105" s="83"/>
      <c r="O1105" s="82"/>
    </row>
    <row r="1106" spans="1:18" x14ac:dyDescent="0.25">
      <c r="A1106" s="81"/>
      <c r="B1106" s="99"/>
      <c r="C1106" s="96"/>
      <c r="D1106" s="96"/>
      <c r="E1106" s="96"/>
      <c r="F1106" s="93"/>
      <c r="J1106" t="s">
        <v>458</v>
      </c>
      <c r="K1106" t="s">
        <v>1224</v>
      </c>
      <c r="M1106" s="73"/>
      <c r="N1106" s="73"/>
      <c r="O1106" s="71"/>
    </row>
    <row r="1107" spans="1:18" s="6" customFormat="1" x14ac:dyDescent="0.25">
      <c r="A1107" s="80">
        <f>$A$2+294</f>
        <v>295</v>
      </c>
      <c r="B1107" s="97">
        <v>17</v>
      </c>
      <c r="C1107" s="94">
        <v>6</v>
      </c>
      <c r="D1107" s="94">
        <v>1729</v>
      </c>
      <c r="E1107" s="94">
        <f>F1107-5</f>
        <v>443</v>
      </c>
      <c r="F1107" s="91">
        <v>448</v>
      </c>
      <c r="G1107" s="20" t="s">
        <v>59</v>
      </c>
      <c r="H1107" s="20" t="s">
        <v>602</v>
      </c>
      <c r="I1107" s="6" t="s">
        <v>103</v>
      </c>
      <c r="J1107" s="6" t="s">
        <v>59</v>
      </c>
      <c r="M1107" s="72" t="s">
        <v>1487</v>
      </c>
      <c r="N1107" s="72" t="s">
        <v>20</v>
      </c>
      <c r="O1107" s="70" t="s">
        <v>1486</v>
      </c>
      <c r="Q1107" s="8"/>
      <c r="R1107" s="8"/>
    </row>
    <row r="1108" spans="1:18" x14ac:dyDescent="0.25">
      <c r="A1108" s="87"/>
      <c r="B1108" s="98"/>
      <c r="C1108" s="95"/>
      <c r="D1108" s="95"/>
      <c r="E1108" s="95"/>
      <c r="F1108" s="92"/>
      <c r="I1108" t="s">
        <v>103</v>
      </c>
      <c r="J1108" t="s">
        <v>602</v>
      </c>
      <c r="M1108" s="83"/>
      <c r="N1108" s="83"/>
      <c r="O1108" s="82"/>
    </row>
    <row r="1109" spans="1:18" x14ac:dyDescent="0.25">
      <c r="A1109" s="81"/>
      <c r="B1109" s="99"/>
      <c r="C1109" s="96"/>
      <c r="D1109" s="96"/>
      <c r="E1109" s="96"/>
      <c r="F1109" s="93"/>
      <c r="J1109" t="s">
        <v>100</v>
      </c>
      <c r="M1109" s="73"/>
      <c r="N1109" s="73"/>
      <c r="O1109" s="71"/>
    </row>
    <row r="1110" spans="1:18" s="6" customFormat="1" x14ac:dyDescent="0.25">
      <c r="A1110" s="80">
        <f>$A$2+295</f>
        <v>296</v>
      </c>
      <c r="B1110" s="97">
        <v>17</v>
      </c>
      <c r="C1110" s="94">
        <v>6</v>
      </c>
      <c r="D1110" s="94">
        <v>1729</v>
      </c>
      <c r="E1110" s="94">
        <f>F1110-5</f>
        <v>443</v>
      </c>
      <c r="F1110" s="91">
        <v>448</v>
      </c>
      <c r="G1110" s="20" t="s">
        <v>916</v>
      </c>
      <c r="H1110" s="20" t="s">
        <v>243</v>
      </c>
      <c r="J1110" s="6" t="s">
        <v>916</v>
      </c>
      <c r="M1110" s="72" t="s">
        <v>244</v>
      </c>
      <c r="N1110" s="72" t="s">
        <v>53</v>
      </c>
      <c r="O1110" s="70" t="s">
        <v>1488</v>
      </c>
      <c r="Q1110" s="8"/>
      <c r="R1110" s="8"/>
    </row>
    <row r="1111" spans="1:18" x14ac:dyDescent="0.25">
      <c r="A1111" s="81"/>
      <c r="B1111" s="99"/>
      <c r="C1111" s="96"/>
      <c r="D1111" s="96"/>
      <c r="E1111" s="96"/>
      <c r="F1111" s="93"/>
      <c r="J1111" t="s">
        <v>243</v>
      </c>
      <c r="M1111" s="73"/>
      <c r="N1111" s="73"/>
      <c r="O1111" s="71"/>
    </row>
    <row r="1112" spans="1:18" s="6" customFormat="1" x14ac:dyDescent="0.25">
      <c r="A1112" s="80">
        <f>$A$2+296</f>
        <v>297</v>
      </c>
      <c r="B1112" s="97">
        <v>20</v>
      </c>
      <c r="C1112" s="94">
        <v>6</v>
      </c>
      <c r="D1112" s="94">
        <v>1729</v>
      </c>
      <c r="E1112" s="94">
        <f>F1112-5</f>
        <v>444</v>
      </c>
      <c r="F1112" s="91">
        <v>449</v>
      </c>
      <c r="G1112" s="20" t="s">
        <v>1489</v>
      </c>
      <c r="H1112" s="20" t="s">
        <v>1490</v>
      </c>
      <c r="I1112" s="6" t="s">
        <v>27</v>
      </c>
      <c r="J1112" s="6" t="s">
        <v>1489</v>
      </c>
      <c r="M1112" s="72" t="s">
        <v>1493</v>
      </c>
      <c r="N1112" s="72" t="s">
        <v>20</v>
      </c>
      <c r="O1112" s="70" t="s">
        <v>1496</v>
      </c>
      <c r="Q1112" s="8"/>
      <c r="R1112" s="88" t="s">
        <v>1456</v>
      </c>
    </row>
    <row r="1113" spans="1:18" x14ac:dyDescent="0.25">
      <c r="A1113" s="87"/>
      <c r="B1113" s="98"/>
      <c r="C1113" s="95"/>
      <c r="D1113" s="95"/>
      <c r="E1113" s="95"/>
      <c r="F1113" s="92"/>
      <c r="I1113" t="s">
        <v>31</v>
      </c>
      <c r="J1113" t="s">
        <v>1490</v>
      </c>
      <c r="M1113" s="83"/>
      <c r="N1113" s="83"/>
      <c r="O1113" s="82"/>
      <c r="P1113" t="s">
        <v>1494</v>
      </c>
      <c r="R1113" s="89"/>
    </row>
    <row r="1114" spans="1:18" x14ac:dyDescent="0.25">
      <c r="A1114" s="87"/>
      <c r="B1114" s="98"/>
      <c r="C1114" s="95"/>
      <c r="D1114" s="95"/>
      <c r="E1114" s="95"/>
      <c r="F1114" s="92"/>
      <c r="J1114" t="s">
        <v>1491</v>
      </c>
      <c r="M1114" s="83"/>
      <c r="N1114" s="83"/>
      <c r="O1114" s="82"/>
      <c r="R1114" s="89"/>
    </row>
    <row r="1115" spans="1:18" x14ac:dyDescent="0.25">
      <c r="A1115" s="87"/>
      <c r="B1115" s="98"/>
      <c r="C1115" s="95"/>
      <c r="D1115" s="95"/>
      <c r="E1115" s="95"/>
      <c r="F1115" s="92"/>
      <c r="J1115" t="s">
        <v>458</v>
      </c>
      <c r="L1115" t="s">
        <v>1492</v>
      </c>
      <c r="M1115" s="83"/>
      <c r="N1115" s="83"/>
      <c r="O1115" s="82"/>
      <c r="R1115" s="89"/>
    </row>
    <row r="1116" spans="1:18" x14ac:dyDescent="0.25">
      <c r="A1116" s="81"/>
      <c r="B1116" s="99"/>
      <c r="C1116" s="96"/>
      <c r="D1116" s="96"/>
      <c r="E1116" s="96"/>
      <c r="F1116" s="93"/>
      <c r="J1116" t="s">
        <v>458</v>
      </c>
      <c r="K1116" t="s">
        <v>1224</v>
      </c>
      <c r="M1116" s="73"/>
      <c r="N1116" s="73"/>
      <c r="O1116" s="71"/>
      <c r="R1116" s="90"/>
    </row>
    <row r="1117" spans="1:18" s="6" customFormat="1" x14ac:dyDescent="0.25">
      <c r="A1117" s="80">
        <f>$A$2+297</f>
        <v>298</v>
      </c>
      <c r="B1117" s="97">
        <v>20</v>
      </c>
      <c r="C1117" s="94">
        <v>6</v>
      </c>
      <c r="D1117" s="94">
        <v>1729</v>
      </c>
      <c r="E1117" s="94">
        <f>F1117-5</f>
        <v>444</v>
      </c>
      <c r="F1117" s="91">
        <v>449</v>
      </c>
      <c r="G1117" s="20" t="s">
        <v>1489</v>
      </c>
      <c r="H1117" s="20" t="s">
        <v>1490</v>
      </c>
      <c r="I1117" s="6" t="s">
        <v>27</v>
      </c>
      <c r="J1117" s="6" t="s">
        <v>1489</v>
      </c>
      <c r="M1117" s="72" t="s">
        <v>13</v>
      </c>
      <c r="N1117" s="72" t="s">
        <v>9</v>
      </c>
      <c r="O1117" s="70" t="s">
        <v>1499</v>
      </c>
      <c r="Q1117" s="8"/>
      <c r="R1117" s="88" t="s">
        <v>1456</v>
      </c>
    </row>
    <row r="1118" spans="1:18" x14ac:dyDescent="0.25">
      <c r="A1118" s="87"/>
      <c r="B1118" s="98"/>
      <c r="C1118" s="95"/>
      <c r="D1118" s="95"/>
      <c r="E1118" s="95"/>
      <c r="F1118" s="92"/>
      <c r="I1118" t="s">
        <v>31</v>
      </c>
      <c r="J1118" t="s">
        <v>1490</v>
      </c>
      <c r="M1118" s="83"/>
      <c r="N1118" s="83"/>
      <c r="O1118" s="82"/>
      <c r="P1118" t="s">
        <v>1500</v>
      </c>
      <c r="R1118" s="89"/>
    </row>
    <row r="1119" spans="1:18" x14ac:dyDescent="0.25">
      <c r="A1119" s="87"/>
      <c r="B1119" s="98"/>
      <c r="C1119" s="95"/>
      <c r="D1119" s="95"/>
      <c r="E1119" s="95"/>
      <c r="F1119" s="92"/>
      <c r="I1119" t="s">
        <v>31</v>
      </c>
      <c r="J1119" t="s">
        <v>1495</v>
      </c>
      <c r="M1119" s="83"/>
      <c r="N1119" s="83"/>
      <c r="O1119" s="82"/>
      <c r="R1119" s="89"/>
    </row>
    <row r="1120" spans="1:18" x14ac:dyDescent="0.25">
      <c r="A1120" s="87"/>
      <c r="B1120" s="98"/>
      <c r="C1120" s="95"/>
      <c r="D1120" s="95"/>
      <c r="E1120" s="95"/>
      <c r="F1120" s="92"/>
      <c r="J1120" t="s">
        <v>602</v>
      </c>
      <c r="M1120" s="83"/>
      <c r="N1120" s="83"/>
      <c r="O1120" s="82"/>
      <c r="R1120" s="89"/>
    </row>
    <row r="1121" spans="1:18" x14ac:dyDescent="0.25">
      <c r="A1121" s="87"/>
      <c r="B1121" s="98"/>
      <c r="C1121" s="95"/>
      <c r="D1121" s="95"/>
      <c r="E1121" s="95"/>
      <c r="F1121" s="92"/>
      <c r="J1121" t="s">
        <v>1497</v>
      </c>
      <c r="L1121" t="s">
        <v>1498</v>
      </c>
      <c r="M1121" s="83"/>
      <c r="N1121" s="83"/>
      <c r="O1121" s="82"/>
      <c r="R1121" s="89"/>
    </row>
    <row r="1122" spans="1:18" x14ac:dyDescent="0.25">
      <c r="A1122" s="87"/>
      <c r="B1122" s="98"/>
      <c r="C1122" s="95"/>
      <c r="D1122" s="95"/>
      <c r="E1122" s="95"/>
      <c r="F1122" s="92"/>
      <c r="J1122" t="s">
        <v>458</v>
      </c>
      <c r="K1122" t="s">
        <v>1224</v>
      </c>
      <c r="M1122" s="83"/>
      <c r="N1122" s="83"/>
      <c r="O1122" s="82"/>
      <c r="R1122" s="89"/>
    </row>
    <row r="1123" spans="1:18" x14ac:dyDescent="0.25">
      <c r="A1123" s="87"/>
      <c r="B1123" s="98"/>
      <c r="C1123" s="95"/>
      <c r="D1123" s="95"/>
      <c r="E1123" s="95"/>
      <c r="F1123" s="92"/>
      <c r="J1123" t="s">
        <v>1041</v>
      </c>
      <c r="L1123" t="s">
        <v>1040</v>
      </c>
      <c r="M1123" s="83"/>
      <c r="N1123" s="83"/>
      <c r="O1123" s="82"/>
      <c r="R1123" s="89"/>
    </row>
    <row r="1124" spans="1:18" x14ac:dyDescent="0.25">
      <c r="A1124" s="87"/>
      <c r="B1124" s="98"/>
      <c r="C1124" s="95"/>
      <c r="D1124" s="95"/>
      <c r="E1124" s="95"/>
      <c r="F1124" s="92"/>
      <c r="I1124" t="s">
        <v>27</v>
      </c>
      <c r="J1124" t="s">
        <v>194</v>
      </c>
      <c r="M1124" s="83"/>
      <c r="N1124" s="83"/>
      <c r="O1124" s="82"/>
      <c r="R1124" s="89"/>
    </row>
    <row r="1125" spans="1:18" x14ac:dyDescent="0.25">
      <c r="A1125" s="81"/>
      <c r="B1125" s="99"/>
      <c r="C1125" s="96"/>
      <c r="D1125" s="96"/>
      <c r="E1125" s="96"/>
      <c r="F1125" s="93"/>
      <c r="J1125" t="s">
        <v>1501</v>
      </c>
      <c r="M1125" s="73"/>
      <c r="N1125" s="73"/>
      <c r="O1125" s="71"/>
      <c r="R1125" s="90"/>
    </row>
    <row r="1126" spans="1:18" s="6" customFormat="1" x14ac:dyDescent="0.25">
      <c r="A1126" s="80">
        <f>$A$2+298</f>
        <v>299</v>
      </c>
      <c r="B1126" s="97">
        <v>26</v>
      </c>
      <c r="C1126" s="94">
        <v>6</v>
      </c>
      <c r="D1126" s="94">
        <v>1729</v>
      </c>
      <c r="E1126" s="94">
        <f>F1126-5</f>
        <v>445</v>
      </c>
      <c r="F1126" s="91">
        <v>450</v>
      </c>
      <c r="G1126" s="20" t="s">
        <v>1502</v>
      </c>
      <c r="H1126" s="20" t="s">
        <v>1503</v>
      </c>
      <c r="I1126" s="6" t="s">
        <v>27</v>
      </c>
      <c r="J1126" s="6" t="s">
        <v>1502</v>
      </c>
      <c r="M1126" s="72" t="s">
        <v>159</v>
      </c>
      <c r="N1126" s="72" t="s">
        <v>20</v>
      </c>
      <c r="O1126" s="70" t="s">
        <v>1509</v>
      </c>
      <c r="Q1126" s="8"/>
      <c r="R1126" s="88" t="s">
        <v>1456</v>
      </c>
    </row>
    <row r="1127" spans="1:18" x14ac:dyDescent="0.25">
      <c r="A1127" s="87"/>
      <c r="B1127" s="98"/>
      <c r="C1127" s="95"/>
      <c r="D1127" s="95"/>
      <c r="E1127" s="95"/>
      <c r="F1127" s="92"/>
      <c r="J1127" t="s">
        <v>1504</v>
      </c>
      <c r="L1127" t="s">
        <v>1507</v>
      </c>
      <c r="M1127" s="83"/>
      <c r="N1127" s="83"/>
      <c r="O1127" s="82"/>
      <c r="R1127" s="89"/>
    </row>
    <row r="1128" spans="1:18" x14ac:dyDescent="0.25">
      <c r="A1128" s="87"/>
      <c r="B1128" s="98"/>
      <c r="C1128" s="95"/>
      <c r="D1128" s="95"/>
      <c r="E1128" s="95"/>
      <c r="F1128" s="92"/>
      <c r="I1128" t="s">
        <v>31</v>
      </c>
      <c r="J1128" t="s">
        <v>1503</v>
      </c>
      <c r="M1128" s="83"/>
      <c r="N1128" s="83"/>
      <c r="O1128" s="82"/>
      <c r="P1128" t="s">
        <v>1508</v>
      </c>
      <c r="R1128" s="89"/>
    </row>
    <row r="1129" spans="1:18" x14ac:dyDescent="0.25">
      <c r="A1129" s="87"/>
      <c r="B1129" s="98"/>
      <c r="C1129" s="95"/>
      <c r="D1129" s="95"/>
      <c r="E1129" s="95"/>
      <c r="F1129" s="92"/>
      <c r="J1129" t="s">
        <v>1505</v>
      </c>
      <c r="L1129" t="s">
        <v>1506</v>
      </c>
      <c r="M1129" s="83"/>
      <c r="N1129" s="83"/>
      <c r="O1129" s="82"/>
      <c r="R1129" s="89"/>
    </row>
    <row r="1130" spans="1:18" x14ac:dyDescent="0.25">
      <c r="A1130" s="81"/>
      <c r="B1130" s="99"/>
      <c r="C1130" s="96"/>
      <c r="D1130" s="96"/>
      <c r="E1130" s="96"/>
      <c r="F1130" s="93"/>
      <c r="J1130" t="s">
        <v>1126</v>
      </c>
      <c r="L1130" t="s">
        <v>1506</v>
      </c>
      <c r="M1130" s="73"/>
      <c r="N1130" s="73"/>
      <c r="O1130" s="71"/>
      <c r="P1130" t="s">
        <v>1510</v>
      </c>
      <c r="R1130" s="90"/>
    </row>
    <row r="1131" spans="1:18" s="6" customFormat="1" x14ac:dyDescent="0.25">
      <c r="A1131" s="80">
        <f>$A$2+299</f>
        <v>300</v>
      </c>
      <c r="B1131" s="97">
        <v>26</v>
      </c>
      <c r="C1131" s="94">
        <v>6</v>
      </c>
      <c r="D1131" s="94">
        <v>1729</v>
      </c>
      <c r="E1131" s="94">
        <f>F1131-5</f>
        <v>445</v>
      </c>
      <c r="F1131" s="91">
        <v>450</v>
      </c>
      <c r="G1131" s="20"/>
      <c r="H1131" s="20"/>
      <c r="J1131" s="6" t="s">
        <v>1511</v>
      </c>
      <c r="M1131" s="72" t="s">
        <v>159</v>
      </c>
      <c r="N1131" s="72" t="s">
        <v>9</v>
      </c>
      <c r="O1131" s="70" t="s">
        <v>1524</v>
      </c>
      <c r="Q1131" s="8"/>
      <c r="R1131" s="88" t="s">
        <v>1456</v>
      </c>
    </row>
    <row r="1132" spans="1:18" x14ac:dyDescent="0.25">
      <c r="A1132" s="87"/>
      <c r="B1132" s="98"/>
      <c r="C1132" s="95"/>
      <c r="D1132" s="95"/>
      <c r="E1132" s="95"/>
      <c r="F1132" s="92"/>
      <c r="J1132" t="s">
        <v>1512</v>
      </c>
      <c r="L1132" t="s">
        <v>1513</v>
      </c>
      <c r="M1132" s="83"/>
      <c r="N1132" s="83"/>
      <c r="O1132" s="82"/>
      <c r="R1132" s="89"/>
    </row>
    <row r="1133" spans="1:18" x14ac:dyDescent="0.25">
      <c r="A1133" s="87"/>
      <c r="B1133" s="98"/>
      <c r="C1133" s="95"/>
      <c r="D1133" s="95"/>
      <c r="E1133" s="95"/>
      <c r="F1133" s="92"/>
      <c r="J1133" t="s">
        <v>838</v>
      </c>
      <c r="M1133" s="83"/>
      <c r="N1133" s="83"/>
      <c r="O1133" s="82"/>
      <c r="P1133" t="s">
        <v>1521</v>
      </c>
      <c r="R1133" s="89"/>
    </row>
    <row r="1134" spans="1:18" x14ac:dyDescent="0.25">
      <c r="A1134" s="87"/>
      <c r="B1134" s="98"/>
      <c r="C1134" s="95"/>
      <c r="D1134" s="95"/>
      <c r="E1134" s="95"/>
      <c r="F1134" s="92"/>
      <c r="J1134" t="s">
        <v>458</v>
      </c>
      <c r="K1134" t="s">
        <v>1514</v>
      </c>
      <c r="M1134" s="83"/>
      <c r="N1134" s="83"/>
      <c r="O1134" s="82"/>
      <c r="P1134" t="s">
        <v>1523</v>
      </c>
      <c r="R1134" s="89"/>
    </row>
    <row r="1135" spans="1:18" x14ac:dyDescent="0.25">
      <c r="A1135" s="87"/>
      <c r="B1135" s="98"/>
      <c r="C1135" s="95"/>
      <c r="D1135" s="95"/>
      <c r="E1135" s="95"/>
      <c r="F1135" s="92"/>
      <c r="J1135" t="s">
        <v>1515</v>
      </c>
      <c r="K1135" t="s">
        <v>1516</v>
      </c>
      <c r="M1135" s="83"/>
      <c r="N1135" s="83"/>
      <c r="O1135" s="82"/>
      <c r="R1135" s="89"/>
    </row>
    <row r="1136" spans="1:18" x14ac:dyDescent="0.25">
      <c r="A1136" s="87"/>
      <c r="B1136" s="98"/>
      <c r="C1136" s="95"/>
      <c r="D1136" s="95"/>
      <c r="E1136" s="95"/>
      <c r="F1136" s="92"/>
      <c r="J1136" t="s">
        <v>1519</v>
      </c>
      <c r="K1136" t="s">
        <v>1520</v>
      </c>
      <c r="M1136" s="83"/>
      <c r="N1136" s="83"/>
      <c r="O1136" s="82"/>
      <c r="R1136" s="89"/>
    </row>
    <row r="1137" spans="1:18" x14ac:dyDescent="0.25">
      <c r="A1137" s="87"/>
      <c r="B1137" s="98"/>
      <c r="C1137" s="95"/>
      <c r="D1137" s="95"/>
      <c r="E1137" s="95"/>
      <c r="F1137" s="92"/>
      <c r="J1137" t="s">
        <v>1517</v>
      </c>
      <c r="M1137" s="83"/>
      <c r="N1137" s="83"/>
      <c r="O1137" s="82"/>
      <c r="R1137" s="89"/>
    </row>
    <row r="1138" spans="1:18" x14ac:dyDescent="0.25">
      <c r="A1138" s="87"/>
      <c r="B1138" s="98"/>
      <c r="C1138" s="95"/>
      <c r="D1138" s="95"/>
      <c r="E1138" s="95"/>
      <c r="F1138" s="92"/>
      <c r="J1138" t="s">
        <v>1505</v>
      </c>
      <c r="M1138" s="83"/>
      <c r="N1138" s="83"/>
      <c r="O1138" s="82"/>
      <c r="R1138" s="89"/>
    </row>
    <row r="1139" spans="1:18" x14ac:dyDescent="0.25">
      <c r="A1139" s="87"/>
      <c r="B1139" s="98"/>
      <c r="C1139" s="95"/>
      <c r="D1139" s="95"/>
      <c r="E1139" s="95"/>
      <c r="F1139" s="92"/>
      <c r="J1139" t="s">
        <v>1126</v>
      </c>
      <c r="M1139" s="83"/>
      <c r="N1139" s="83"/>
      <c r="O1139" s="82"/>
      <c r="R1139" s="89"/>
    </row>
    <row r="1140" spans="1:18" x14ac:dyDescent="0.25">
      <c r="A1140" s="87"/>
      <c r="B1140" s="98"/>
      <c r="C1140" s="95"/>
      <c r="D1140" s="95"/>
      <c r="E1140" s="95"/>
      <c r="F1140" s="92"/>
      <c r="J1140" t="s">
        <v>1518</v>
      </c>
      <c r="M1140" s="83"/>
      <c r="N1140" s="83"/>
      <c r="O1140" s="82"/>
      <c r="R1140" s="89"/>
    </row>
    <row r="1141" spans="1:18" x14ac:dyDescent="0.25">
      <c r="A1141" s="87"/>
      <c r="B1141" s="98"/>
      <c r="C1141" s="95"/>
      <c r="D1141" s="95"/>
      <c r="E1141" s="95"/>
      <c r="F1141" s="92"/>
      <c r="J1141" t="s">
        <v>1522</v>
      </c>
      <c r="M1141" s="83"/>
      <c r="N1141" s="83"/>
      <c r="O1141" s="82"/>
      <c r="R1141" s="89"/>
    </row>
    <row r="1142" spans="1:18" x14ac:dyDescent="0.25">
      <c r="A1142" s="81"/>
      <c r="B1142" s="99"/>
      <c r="C1142" s="96"/>
      <c r="D1142" s="96"/>
      <c r="E1142" s="96"/>
      <c r="F1142" s="93"/>
      <c r="J1142" t="s">
        <v>458</v>
      </c>
      <c r="K1142" t="s">
        <v>1525</v>
      </c>
      <c r="M1142" s="73"/>
      <c r="N1142" s="73"/>
      <c r="O1142" s="71"/>
      <c r="R1142" s="90"/>
    </row>
    <row r="1143" spans="1:18" s="6" customFormat="1" x14ac:dyDescent="0.25">
      <c r="A1143" s="80">
        <f>$A$2+300</f>
        <v>301</v>
      </c>
      <c r="B1143" s="97">
        <v>27</v>
      </c>
      <c r="C1143" s="94">
        <v>6</v>
      </c>
      <c r="D1143" s="94">
        <v>1729</v>
      </c>
      <c r="E1143" s="94">
        <f>F1143-5</f>
        <v>446</v>
      </c>
      <c r="F1143" s="91">
        <v>451</v>
      </c>
      <c r="G1143" s="20" t="s">
        <v>93</v>
      </c>
      <c r="H1143" s="20" t="s">
        <v>1267</v>
      </c>
      <c r="I1143" s="6" t="s">
        <v>27</v>
      </c>
      <c r="J1143" s="6" t="s">
        <v>93</v>
      </c>
      <c r="M1143" s="72" t="s">
        <v>1539</v>
      </c>
      <c r="N1143" s="72" t="s">
        <v>20</v>
      </c>
      <c r="O1143" s="70" t="s">
        <v>1538</v>
      </c>
      <c r="Q1143" s="8"/>
      <c r="R1143" s="88" t="s">
        <v>1456</v>
      </c>
    </row>
    <row r="1144" spans="1:18" x14ac:dyDescent="0.25">
      <c r="A1144" s="87"/>
      <c r="B1144" s="98"/>
      <c r="C1144" s="95"/>
      <c r="D1144" s="95"/>
      <c r="E1144" s="95"/>
      <c r="F1144" s="92"/>
      <c r="H1144" s="18" t="s">
        <v>1528</v>
      </c>
      <c r="I1144" t="s">
        <v>27</v>
      </c>
      <c r="J1144" t="s">
        <v>1267</v>
      </c>
      <c r="M1144" s="83"/>
      <c r="N1144" s="83"/>
      <c r="O1144" s="82"/>
      <c r="P1144" t="s">
        <v>1532</v>
      </c>
      <c r="R1144" s="89"/>
    </row>
    <row r="1145" spans="1:18" x14ac:dyDescent="0.25">
      <c r="A1145" s="87"/>
      <c r="B1145" s="98"/>
      <c r="C1145" s="95"/>
      <c r="D1145" s="95"/>
      <c r="E1145" s="95"/>
      <c r="F1145" s="92"/>
      <c r="J1145" t="s">
        <v>1528</v>
      </c>
      <c r="L1145" t="s">
        <v>1526</v>
      </c>
      <c r="M1145" s="83"/>
      <c r="N1145" s="83"/>
      <c r="O1145" s="82"/>
      <c r="P1145" t="s">
        <v>1530</v>
      </c>
      <c r="R1145" s="89"/>
    </row>
    <row r="1146" spans="1:18" x14ac:dyDescent="0.25">
      <c r="A1146" s="87"/>
      <c r="B1146" s="98"/>
      <c r="C1146" s="95"/>
      <c r="D1146" s="95"/>
      <c r="E1146" s="95"/>
      <c r="F1146" s="92"/>
      <c r="J1146" t="s">
        <v>1527</v>
      </c>
      <c r="M1146" s="83"/>
      <c r="N1146" s="83"/>
      <c r="O1146" s="82"/>
      <c r="P1146" t="s">
        <v>1529</v>
      </c>
      <c r="R1146" s="89"/>
    </row>
    <row r="1147" spans="1:18" x14ac:dyDescent="0.25">
      <c r="A1147" s="87"/>
      <c r="B1147" s="98"/>
      <c r="C1147" s="95"/>
      <c r="D1147" s="95"/>
      <c r="E1147" s="95"/>
      <c r="F1147" s="92"/>
      <c r="I1147" t="s">
        <v>103</v>
      </c>
      <c r="J1147" t="s">
        <v>17</v>
      </c>
      <c r="M1147" s="83"/>
      <c r="N1147" s="83"/>
      <c r="O1147" s="82"/>
      <c r="P1147" t="s">
        <v>1531</v>
      </c>
      <c r="R1147" s="89"/>
    </row>
    <row r="1148" spans="1:18" x14ac:dyDescent="0.25">
      <c r="A1148" s="87"/>
      <c r="B1148" s="98"/>
      <c r="C1148" s="95"/>
      <c r="D1148" s="95"/>
      <c r="E1148" s="95"/>
      <c r="F1148" s="92"/>
      <c r="J1148" t="s">
        <v>1533</v>
      </c>
      <c r="L1148" t="s">
        <v>1534</v>
      </c>
      <c r="M1148" s="83"/>
      <c r="N1148" s="83"/>
      <c r="O1148" s="82"/>
      <c r="R1148" s="89"/>
    </row>
    <row r="1149" spans="1:18" x14ac:dyDescent="0.25">
      <c r="A1149" s="87"/>
      <c r="B1149" s="98"/>
      <c r="C1149" s="95"/>
      <c r="D1149" s="95"/>
      <c r="E1149" s="95"/>
      <c r="F1149" s="92"/>
      <c r="J1149" t="s">
        <v>1536</v>
      </c>
      <c r="L1149" t="s">
        <v>1535</v>
      </c>
      <c r="M1149" s="83"/>
      <c r="N1149" s="83"/>
      <c r="O1149" s="82"/>
      <c r="R1149" s="89"/>
    </row>
    <row r="1150" spans="1:18" x14ac:dyDescent="0.25">
      <c r="A1150" s="81"/>
      <c r="B1150" s="99"/>
      <c r="C1150" s="96"/>
      <c r="D1150" s="96"/>
      <c r="E1150" s="96"/>
      <c r="F1150" s="93"/>
      <c r="J1150" t="s">
        <v>458</v>
      </c>
      <c r="L1150" t="s">
        <v>1537</v>
      </c>
      <c r="M1150" s="73"/>
      <c r="N1150" s="73"/>
      <c r="O1150" s="71"/>
      <c r="R1150" s="90"/>
    </row>
    <row r="1151" spans="1:18" s="6" customFormat="1" x14ac:dyDescent="0.25">
      <c r="A1151" s="80">
        <f>$A$2+301</f>
        <v>302</v>
      </c>
      <c r="B1151" s="97">
        <v>27</v>
      </c>
      <c r="C1151" s="94">
        <v>6</v>
      </c>
      <c r="D1151" s="94">
        <v>1729</v>
      </c>
      <c r="E1151" s="94">
        <f>F1151-5</f>
        <v>447</v>
      </c>
      <c r="F1151" s="91">
        <v>452</v>
      </c>
      <c r="G1151" s="20" t="s">
        <v>17</v>
      </c>
      <c r="H1151" s="20" t="s">
        <v>994</v>
      </c>
      <c r="I1151" s="6" t="s">
        <v>103</v>
      </c>
      <c r="J1151" s="6" t="s">
        <v>17</v>
      </c>
      <c r="M1151" s="72" t="s">
        <v>13</v>
      </c>
      <c r="N1151" s="72" t="s">
        <v>20</v>
      </c>
      <c r="O1151" s="70" t="s">
        <v>1543</v>
      </c>
      <c r="Q1151" s="8"/>
      <c r="R1151" s="88"/>
    </row>
    <row r="1152" spans="1:18" x14ac:dyDescent="0.25">
      <c r="A1152" s="87"/>
      <c r="B1152" s="98"/>
      <c r="C1152" s="95"/>
      <c r="D1152" s="95"/>
      <c r="E1152" s="95"/>
      <c r="F1152" s="92"/>
      <c r="I1152" t="s">
        <v>1540</v>
      </c>
      <c r="J1152" t="s">
        <v>994</v>
      </c>
      <c r="K1152" t="s">
        <v>1541</v>
      </c>
      <c r="M1152" s="83"/>
      <c r="N1152" s="83"/>
      <c r="O1152" s="82"/>
      <c r="R1152" s="89"/>
    </row>
    <row r="1153" spans="1:18" x14ac:dyDescent="0.25">
      <c r="A1153" s="87"/>
      <c r="B1153" s="98"/>
      <c r="C1153" s="95"/>
      <c r="D1153" s="95"/>
      <c r="E1153" s="95"/>
      <c r="F1153" s="92"/>
      <c r="I1153" t="s">
        <v>103</v>
      </c>
      <c r="J1153" t="s">
        <v>602</v>
      </c>
      <c r="K1153" t="s">
        <v>1224</v>
      </c>
      <c r="M1153" s="83"/>
      <c r="N1153" s="83"/>
      <c r="O1153" s="82"/>
      <c r="R1153" s="89"/>
    </row>
    <row r="1154" spans="1:18" x14ac:dyDescent="0.25">
      <c r="A1154" s="87"/>
      <c r="B1154" s="98"/>
      <c r="C1154" s="95"/>
      <c r="D1154" s="95"/>
      <c r="E1154" s="95"/>
      <c r="F1154" s="92"/>
      <c r="I1154" t="s">
        <v>103</v>
      </c>
      <c r="J1154" t="s">
        <v>1542</v>
      </c>
      <c r="K1154" t="s">
        <v>815</v>
      </c>
      <c r="M1154" s="83"/>
      <c r="N1154" s="83"/>
      <c r="O1154" s="82"/>
      <c r="R1154" s="89"/>
    </row>
    <row r="1155" spans="1:18" x14ac:dyDescent="0.25">
      <c r="A1155" s="87"/>
      <c r="B1155" s="98"/>
      <c r="C1155" s="95"/>
      <c r="D1155" s="95"/>
      <c r="E1155" s="95"/>
      <c r="F1155" s="92"/>
      <c r="I1155" t="s">
        <v>103</v>
      </c>
      <c r="J1155" t="s">
        <v>695</v>
      </c>
      <c r="M1155" s="83"/>
      <c r="N1155" s="83"/>
      <c r="O1155" s="82"/>
      <c r="R1155" s="89"/>
    </row>
    <row r="1156" spans="1:18" x14ac:dyDescent="0.25">
      <c r="A1156" s="87"/>
      <c r="B1156" s="98"/>
      <c r="C1156" s="95"/>
      <c r="D1156" s="95"/>
      <c r="E1156" s="95"/>
      <c r="F1156" s="92"/>
      <c r="J1156" t="s">
        <v>458</v>
      </c>
      <c r="K1156" t="s">
        <v>459</v>
      </c>
      <c r="M1156" s="83"/>
      <c r="N1156" s="83"/>
      <c r="O1156" s="82"/>
      <c r="R1156" s="89"/>
    </row>
    <row r="1157" spans="1:18" x14ac:dyDescent="0.25">
      <c r="A1157" s="81"/>
      <c r="B1157" s="99"/>
      <c r="C1157" s="96"/>
      <c r="D1157" s="96"/>
      <c r="E1157" s="96"/>
      <c r="F1157" s="93"/>
      <c r="J1157" t="s">
        <v>1197</v>
      </c>
      <c r="M1157" s="73"/>
      <c r="N1157" s="73"/>
      <c r="O1157" s="71"/>
      <c r="R1157" s="90"/>
    </row>
    <row r="1158" spans="1:18" s="6" customFormat="1" ht="14.25" customHeight="1" x14ac:dyDescent="0.25">
      <c r="A1158" s="25">
        <f>$A$2+302</f>
        <v>303</v>
      </c>
      <c r="B1158" s="4">
        <v>28</v>
      </c>
      <c r="C1158" s="4">
        <v>7</v>
      </c>
      <c r="D1158" s="4">
        <v>1729</v>
      </c>
      <c r="E1158" s="4">
        <f>F1158-5</f>
        <v>447</v>
      </c>
      <c r="F1158" s="3">
        <v>452</v>
      </c>
      <c r="G1158" s="20"/>
      <c r="H1158" s="20"/>
      <c r="J1158" s="6" t="s">
        <v>1545</v>
      </c>
      <c r="M1158" s="27" t="s">
        <v>1008</v>
      </c>
      <c r="N1158" s="27" t="s">
        <v>1544</v>
      </c>
      <c r="O1158" s="35" t="s">
        <v>1546</v>
      </c>
      <c r="Q1158" s="8"/>
      <c r="R1158" s="44"/>
    </row>
    <row r="1159" spans="1:18" s="6" customFormat="1" x14ac:dyDescent="0.25">
      <c r="A1159" s="80">
        <f>$A$2+303</f>
        <v>304</v>
      </c>
      <c r="B1159" s="97">
        <v>31</v>
      </c>
      <c r="C1159" s="94">
        <v>7</v>
      </c>
      <c r="D1159" s="94">
        <v>1729</v>
      </c>
      <c r="E1159" s="94">
        <f>F1159-5</f>
        <v>448</v>
      </c>
      <c r="F1159" s="91">
        <v>453</v>
      </c>
      <c r="G1159" s="20" t="s">
        <v>93</v>
      </c>
      <c r="H1159" s="20" t="s">
        <v>1349</v>
      </c>
      <c r="I1159" s="6" t="s">
        <v>27</v>
      </c>
      <c r="J1159" s="6" t="s">
        <v>93</v>
      </c>
      <c r="M1159" s="72" t="s">
        <v>1549</v>
      </c>
      <c r="N1159" s="72" t="s">
        <v>20</v>
      </c>
      <c r="O1159" s="70" t="s">
        <v>1550</v>
      </c>
      <c r="Q1159" s="8"/>
      <c r="R1159" s="88"/>
    </row>
    <row r="1160" spans="1:18" x14ac:dyDescent="0.25">
      <c r="A1160" s="87"/>
      <c r="B1160" s="98"/>
      <c r="C1160" s="95"/>
      <c r="D1160" s="95"/>
      <c r="E1160" s="95"/>
      <c r="F1160" s="92"/>
      <c r="I1160" t="s">
        <v>27</v>
      </c>
      <c r="J1160" t="s">
        <v>1349</v>
      </c>
      <c r="M1160" s="83"/>
      <c r="N1160" s="83"/>
      <c r="O1160" s="82"/>
      <c r="R1160" s="89"/>
    </row>
    <row r="1161" spans="1:18" x14ac:dyDescent="0.25">
      <c r="A1161" s="81"/>
      <c r="B1161" s="99"/>
      <c r="C1161" s="96"/>
      <c r="D1161" s="96"/>
      <c r="E1161" s="96"/>
      <c r="F1161" s="93"/>
      <c r="J1161" t="s">
        <v>1547</v>
      </c>
      <c r="L1161" t="s">
        <v>1548</v>
      </c>
      <c r="M1161" s="73"/>
      <c r="N1161" s="73"/>
      <c r="O1161" s="71"/>
      <c r="R1161" s="90"/>
    </row>
    <row r="1162" spans="1:18" s="6" customFormat="1" x14ac:dyDescent="0.25">
      <c r="A1162" s="80">
        <f>$A$2+304</f>
        <v>305</v>
      </c>
      <c r="B1162" s="97">
        <v>31</v>
      </c>
      <c r="C1162" s="94">
        <v>7</v>
      </c>
      <c r="D1162" s="94">
        <v>1729</v>
      </c>
      <c r="E1162" s="94">
        <f>F1162-5</f>
        <v>448</v>
      </c>
      <c r="F1162" s="91">
        <v>453</v>
      </c>
      <c r="G1162" s="20" t="s">
        <v>1553</v>
      </c>
      <c r="H1162" s="20" t="s">
        <v>908</v>
      </c>
      <c r="I1162" s="6" t="s">
        <v>1551</v>
      </c>
      <c r="J1162" s="6" t="s">
        <v>1553</v>
      </c>
      <c r="M1162" s="72" t="s">
        <v>13</v>
      </c>
      <c r="N1162" s="72" t="s">
        <v>20</v>
      </c>
      <c r="O1162" s="70" t="s">
        <v>1554</v>
      </c>
      <c r="Q1162" s="8"/>
      <c r="R1162" s="88"/>
    </row>
    <row r="1163" spans="1:18" x14ac:dyDescent="0.25">
      <c r="A1163" s="81"/>
      <c r="B1163" s="99"/>
      <c r="C1163" s="96"/>
      <c r="D1163" s="96"/>
      <c r="E1163" s="96"/>
      <c r="F1163" s="93"/>
      <c r="I1163" t="s">
        <v>27</v>
      </c>
      <c r="J1163" t="s">
        <v>908</v>
      </c>
      <c r="M1163" s="73"/>
      <c r="N1163" s="73"/>
      <c r="O1163" s="71"/>
      <c r="R1163" s="90"/>
    </row>
    <row r="1164" spans="1:18" s="6" customFormat="1" x14ac:dyDescent="0.25">
      <c r="A1164" s="80">
        <f>$A$2+305</f>
        <v>306</v>
      </c>
      <c r="B1164" s="97">
        <v>3</v>
      </c>
      <c r="C1164" s="94">
        <v>8</v>
      </c>
      <c r="D1164" s="94">
        <v>1729</v>
      </c>
      <c r="E1164" s="94">
        <f>F1164-5</f>
        <v>448</v>
      </c>
      <c r="F1164" s="91">
        <v>453</v>
      </c>
      <c r="G1164" s="20" t="s">
        <v>908</v>
      </c>
      <c r="H1164" s="20" t="s">
        <v>1024</v>
      </c>
      <c r="I1164" s="6" t="s">
        <v>27</v>
      </c>
      <c r="J1164" s="6" t="s">
        <v>1024</v>
      </c>
      <c r="M1164" s="72"/>
      <c r="N1164" s="72" t="s">
        <v>344</v>
      </c>
      <c r="O1164" s="70"/>
      <c r="Q1164" s="8"/>
      <c r="R1164" s="88"/>
    </row>
    <row r="1165" spans="1:18" x14ac:dyDescent="0.25">
      <c r="A1165" s="81"/>
      <c r="B1165" s="99"/>
      <c r="C1165" s="96"/>
      <c r="D1165" s="96"/>
      <c r="E1165" s="96"/>
      <c r="F1165" s="93"/>
      <c r="I1165" t="s">
        <v>27</v>
      </c>
      <c r="J1165" t="s">
        <v>908</v>
      </c>
      <c r="M1165" s="73"/>
      <c r="N1165" s="73"/>
      <c r="O1165" s="71"/>
      <c r="R1165" s="90"/>
    </row>
    <row r="1166" spans="1:18" s="6" customFormat="1" x14ac:dyDescent="0.25">
      <c r="A1166" s="80">
        <f>$A$2+306</f>
        <v>307</v>
      </c>
      <c r="B1166" s="97">
        <v>7</v>
      </c>
      <c r="C1166" s="94">
        <v>8</v>
      </c>
      <c r="D1166" s="94">
        <v>1729</v>
      </c>
      <c r="E1166" s="94">
        <f>F1166-5</f>
        <v>448</v>
      </c>
      <c r="F1166" s="91">
        <v>453</v>
      </c>
      <c r="G1166" s="20" t="s">
        <v>331</v>
      </c>
      <c r="H1166" s="20" t="s">
        <v>317</v>
      </c>
      <c r="I1166" s="6" t="s">
        <v>27</v>
      </c>
      <c r="J1166" s="6" t="s">
        <v>331</v>
      </c>
      <c r="M1166" s="72" t="s">
        <v>1559</v>
      </c>
      <c r="N1166" s="72" t="s">
        <v>20</v>
      </c>
      <c r="O1166" s="70" t="s">
        <v>1560</v>
      </c>
      <c r="Q1166" s="8"/>
      <c r="R1166" s="88"/>
    </row>
    <row r="1167" spans="1:18" x14ac:dyDescent="0.25">
      <c r="A1167" s="87"/>
      <c r="B1167" s="98"/>
      <c r="C1167" s="95"/>
      <c r="D1167" s="95"/>
      <c r="E1167" s="95"/>
      <c r="F1167" s="92"/>
      <c r="I1167" t="s">
        <v>27</v>
      </c>
      <c r="J1167" t="s">
        <v>317</v>
      </c>
      <c r="M1167" s="83"/>
      <c r="N1167" s="83"/>
      <c r="O1167" s="82"/>
      <c r="R1167" s="89"/>
    </row>
    <row r="1168" spans="1:18" x14ac:dyDescent="0.25">
      <c r="A1168" s="87"/>
      <c r="B1168" s="98"/>
      <c r="C1168" s="95"/>
      <c r="D1168" s="95"/>
      <c r="E1168" s="95"/>
      <c r="F1168" s="92"/>
      <c r="J1168" t="s">
        <v>1555</v>
      </c>
      <c r="L1168" t="s">
        <v>1556</v>
      </c>
      <c r="M1168" s="83"/>
      <c r="N1168" s="83"/>
      <c r="O1168" s="82"/>
      <c r="R1168" s="89"/>
    </row>
    <row r="1169" spans="1:18" x14ac:dyDescent="0.25">
      <c r="A1169" s="81"/>
      <c r="B1169" s="99"/>
      <c r="C1169" s="96"/>
      <c r="D1169" s="96"/>
      <c r="E1169" s="96"/>
      <c r="F1169" s="93"/>
      <c r="J1169" t="s">
        <v>1557</v>
      </c>
      <c r="L1169" t="s">
        <v>1558</v>
      </c>
      <c r="M1169" s="73"/>
      <c r="N1169" s="73"/>
      <c r="O1169" s="71"/>
      <c r="R1169" s="90"/>
    </row>
    <row r="1170" spans="1:18" s="6" customFormat="1" x14ac:dyDescent="0.25">
      <c r="A1170" s="80">
        <f>$A$2+307</f>
        <v>308</v>
      </c>
      <c r="B1170" s="97">
        <v>7</v>
      </c>
      <c r="C1170" s="94">
        <v>8</v>
      </c>
      <c r="D1170" s="94">
        <v>1729</v>
      </c>
      <c r="E1170" s="94">
        <f>F1170-5</f>
        <v>449</v>
      </c>
      <c r="F1170" s="91">
        <v>454</v>
      </c>
      <c r="G1170" s="20" t="s">
        <v>63</v>
      </c>
      <c r="H1170" s="20" t="s">
        <v>1561</v>
      </c>
      <c r="I1170" s="6" t="s">
        <v>27</v>
      </c>
      <c r="J1170" s="6" t="s">
        <v>63</v>
      </c>
      <c r="M1170" s="72" t="s">
        <v>1032</v>
      </c>
      <c r="N1170" s="72" t="s">
        <v>20</v>
      </c>
      <c r="O1170" s="70" t="s">
        <v>1563</v>
      </c>
      <c r="Q1170" s="8"/>
      <c r="R1170" s="88"/>
    </row>
    <row r="1171" spans="1:18" x14ac:dyDescent="0.25">
      <c r="A1171" s="87"/>
      <c r="B1171" s="98"/>
      <c r="C1171" s="95"/>
      <c r="D1171" s="95"/>
      <c r="E1171" s="95"/>
      <c r="F1171" s="92"/>
      <c r="I1171" t="s">
        <v>27</v>
      </c>
      <c r="J1171" t="s">
        <v>1561</v>
      </c>
      <c r="M1171" s="83"/>
      <c r="N1171" s="83"/>
      <c r="O1171" s="82"/>
      <c r="R1171" s="89"/>
    </row>
    <row r="1172" spans="1:18" x14ac:dyDescent="0.25">
      <c r="A1172" s="87"/>
      <c r="B1172" s="98"/>
      <c r="C1172" s="95"/>
      <c r="D1172" s="95"/>
      <c r="E1172" s="95"/>
      <c r="F1172" s="92"/>
      <c r="J1172" t="s">
        <v>351</v>
      </c>
      <c r="M1172" s="83"/>
      <c r="N1172" s="83"/>
      <c r="O1172" s="82"/>
      <c r="R1172" s="89"/>
    </row>
    <row r="1173" spans="1:18" x14ac:dyDescent="0.25">
      <c r="A1173" s="87"/>
      <c r="B1173" s="98"/>
      <c r="C1173" s="95"/>
      <c r="D1173" s="95"/>
      <c r="E1173" s="95"/>
      <c r="F1173" s="92"/>
      <c r="J1173" t="s">
        <v>458</v>
      </c>
      <c r="L1173" t="s">
        <v>1562</v>
      </c>
      <c r="M1173" s="83"/>
      <c r="N1173" s="83"/>
      <c r="O1173" s="82"/>
      <c r="R1173" s="89"/>
    </row>
    <row r="1174" spans="1:18" x14ac:dyDescent="0.25">
      <c r="A1174" s="81"/>
      <c r="B1174" s="99"/>
      <c r="C1174" s="96"/>
      <c r="D1174" s="96"/>
      <c r="E1174" s="96"/>
      <c r="F1174" s="93"/>
      <c r="J1174" t="s">
        <v>1087</v>
      </c>
      <c r="M1174" s="73"/>
      <c r="N1174" s="73"/>
      <c r="O1174" s="71"/>
      <c r="R1174" s="90"/>
    </row>
    <row r="1175" spans="1:18" s="6" customFormat="1" x14ac:dyDescent="0.25">
      <c r="A1175" s="80">
        <f>$A$2+308</f>
        <v>309</v>
      </c>
      <c r="B1175" s="97">
        <v>9</v>
      </c>
      <c r="C1175" s="94">
        <v>8</v>
      </c>
      <c r="D1175" s="94">
        <v>1729</v>
      </c>
      <c r="E1175" s="94">
        <f>F1175-5</f>
        <v>449</v>
      </c>
      <c r="F1175" s="91">
        <v>454</v>
      </c>
      <c r="G1175" s="20" t="s">
        <v>1564</v>
      </c>
      <c r="H1175" s="20" t="s">
        <v>1565</v>
      </c>
      <c r="I1175" s="6" t="s">
        <v>31</v>
      </c>
      <c r="J1175" s="6" t="s">
        <v>1564</v>
      </c>
      <c r="M1175" s="72" t="s">
        <v>1568</v>
      </c>
      <c r="N1175" s="72" t="s">
        <v>9</v>
      </c>
      <c r="O1175" s="70" t="s">
        <v>1569</v>
      </c>
      <c r="Q1175" s="8"/>
      <c r="R1175" s="88" t="s">
        <v>1456</v>
      </c>
    </row>
    <row r="1176" spans="1:18" x14ac:dyDescent="0.25">
      <c r="A1176" s="87"/>
      <c r="B1176" s="98"/>
      <c r="C1176" s="95"/>
      <c r="D1176" s="95"/>
      <c r="E1176" s="95"/>
      <c r="F1176" s="92"/>
      <c r="I1176" t="s">
        <v>31</v>
      </c>
      <c r="J1176" t="s">
        <v>1565</v>
      </c>
      <c r="M1176" s="83"/>
      <c r="N1176" s="83"/>
      <c r="O1176" s="82"/>
      <c r="R1176" s="89"/>
    </row>
    <row r="1177" spans="1:18" x14ac:dyDescent="0.25">
      <c r="A1177" s="87"/>
      <c r="B1177" s="98"/>
      <c r="C1177" s="95"/>
      <c r="D1177" s="95"/>
      <c r="E1177" s="95"/>
      <c r="F1177" s="92"/>
      <c r="I1177" t="s">
        <v>31</v>
      </c>
      <c r="J1177" t="s">
        <v>1566</v>
      </c>
      <c r="M1177" s="83"/>
      <c r="N1177" s="83"/>
      <c r="O1177" s="82"/>
      <c r="R1177" s="89"/>
    </row>
    <row r="1178" spans="1:18" x14ac:dyDescent="0.25">
      <c r="A1178" s="81"/>
      <c r="B1178" s="99"/>
      <c r="C1178" s="96"/>
      <c r="D1178" s="96"/>
      <c r="E1178" s="96"/>
      <c r="F1178" s="93"/>
      <c r="J1178" t="s">
        <v>1567</v>
      </c>
      <c r="M1178" s="73"/>
      <c r="N1178" s="73"/>
      <c r="O1178" s="71"/>
      <c r="R1178" s="90"/>
    </row>
    <row r="1179" spans="1:18" s="6" customFormat="1" x14ac:dyDescent="0.25">
      <c r="A1179" s="80">
        <f>$A$2+309</f>
        <v>310</v>
      </c>
      <c r="B1179" s="97">
        <v>9</v>
      </c>
      <c r="C1179" s="94">
        <v>8</v>
      </c>
      <c r="D1179" s="94">
        <v>1729</v>
      </c>
      <c r="E1179" s="94">
        <f>F1179-5</f>
        <v>449</v>
      </c>
      <c r="F1179" s="91">
        <v>454</v>
      </c>
      <c r="G1179" s="20" t="s">
        <v>1024</v>
      </c>
      <c r="H1179" s="20" t="s">
        <v>908</v>
      </c>
      <c r="J1179" s="6" t="s">
        <v>1024</v>
      </c>
      <c r="M1179" s="72" t="s">
        <v>244</v>
      </c>
      <c r="N1179" s="72" t="s">
        <v>53</v>
      </c>
      <c r="O1179" s="70" t="s">
        <v>1570</v>
      </c>
      <c r="Q1179" s="8"/>
      <c r="R1179" s="88"/>
    </row>
    <row r="1180" spans="1:18" x14ac:dyDescent="0.25">
      <c r="A1180" s="81"/>
      <c r="B1180" s="99"/>
      <c r="C1180" s="96"/>
      <c r="D1180" s="96"/>
      <c r="E1180" s="96"/>
      <c r="F1180" s="93"/>
      <c r="J1180" t="s">
        <v>908</v>
      </c>
      <c r="M1180" s="73"/>
      <c r="N1180" s="73"/>
      <c r="O1180" s="71"/>
      <c r="R1180" s="90"/>
    </row>
    <row r="1181" spans="1:18" s="6" customFormat="1" ht="17.25" customHeight="1" x14ac:dyDescent="0.25">
      <c r="A1181" s="25">
        <f>$A$2+310</f>
        <v>311</v>
      </c>
      <c r="B1181" s="4">
        <v>9</v>
      </c>
      <c r="C1181" s="4">
        <v>8</v>
      </c>
      <c r="D1181" s="4">
        <v>1729</v>
      </c>
      <c r="E1181" s="4">
        <f>F1181-5</f>
        <v>449</v>
      </c>
      <c r="F1181" s="3">
        <v>454</v>
      </c>
      <c r="G1181" s="20"/>
      <c r="H1181" s="20"/>
      <c r="J1181" s="6" t="s">
        <v>400</v>
      </c>
      <c r="M1181" s="27" t="s">
        <v>289</v>
      </c>
      <c r="N1181" s="27" t="s">
        <v>266</v>
      </c>
      <c r="O1181" s="35"/>
      <c r="Q1181" s="8"/>
      <c r="R1181" s="44"/>
    </row>
    <row r="1182" spans="1:18" s="6" customFormat="1" x14ac:dyDescent="0.25">
      <c r="A1182" s="80">
        <f>$A$2+311</f>
        <v>312</v>
      </c>
      <c r="B1182" s="97">
        <v>9</v>
      </c>
      <c r="C1182" s="94">
        <v>8</v>
      </c>
      <c r="D1182" s="94">
        <v>1729</v>
      </c>
      <c r="E1182" s="94">
        <f>F1182-5</f>
        <v>449</v>
      </c>
      <c r="F1182" s="91">
        <v>454</v>
      </c>
      <c r="G1182" s="20" t="s">
        <v>1074</v>
      </c>
      <c r="H1182" s="20" t="s">
        <v>676</v>
      </c>
      <c r="I1182" s="6" t="s">
        <v>31</v>
      </c>
      <c r="J1182" s="6" t="s">
        <v>1074</v>
      </c>
      <c r="M1182" s="72" t="s">
        <v>1032</v>
      </c>
      <c r="N1182" s="72" t="s">
        <v>9</v>
      </c>
      <c r="O1182" s="70" t="s">
        <v>1573</v>
      </c>
      <c r="Q1182" s="8"/>
      <c r="R1182" s="88" t="s">
        <v>1456</v>
      </c>
    </row>
    <row r="1183" spans="1:18" x14ac:dyDescent="0.25">
      <c r="A1183" s="87"/>
      <c r="B1183" s="98"/>
      <c r="C1183" s="95"/>
      <c r="D1183" s="95"/>
      <c r="E1183" s="95"/>
      <c r="F1183" s="92"/>
      <c r="J1183" t="s">
        <v>676</v>
      </c>
      <c r="M1183" s="83"/>
      <c r="N1183" s="83"/>
      <c r="O1183" s="82"/>
      <c r="R1183" s="89"/>
    </row>
    <row r="1184" spans="1:18" x14ac:dyDescent="0.25">
      <c r="A1184" s="87"/>
      <c r="B1184" s="98"/>
      <c r="C1184" s="95"/>
      <c r="D1184" s="95"/>
      <c r="E1184" s="95"/>
      <c r="F1184" s="92"/>
      <c r="J1184" t="s">
        <v>1571</v>
      </c>
      <c r="L1184" t="s">
        <v>1572</v>
      </c>
      <c r="M1184" s="83"/>
      <c r="N1184" s="83"/>
      <c r="O1184" s="82"/>
      <c r="R1184" s="89"/>
    </row>
    <row r="1185" spans="1:18" x14ac:dyDescent="0.25">
      <c r="A1185" s="81"/>
      <c r="B1185" s="99"/>
      <c r="C1185" s="96"/>
      <c r="D1185" s="96"/>
      <c r="E1185" s="96"/>
      <c r="F1185" s="93"/>
      <c r="I1185" t="s">
        <v>31</v>
      </c>
      <c r="J1185" t="s">
        <v>1087</v>
      </c>
      <c r="M1185" s="73"/>
      <c r="N1185" s="73"/>
      <c r="O1185" s="71"/>
      <c r="R1185" s="90"/>
    </row>
    <row r="1186" spans="1:18" s="6" customFormat="1" x14ac:dyDescent="0.25">
      <c r="A1186" s="80">
        <f>$A$2+312</f>
        <v>313</v>
      </c>
      <c r="B1186" s="97">
        <v>9</v>
      </c>
      <c r="C1186" s="94">
        <v>8</v>
      </c>
      <c r="D1186" s="94">
        <v>1729</v>
      </c>
      <c r="E1186" s="94">
        <f>F1186-5</f>
        <v>450</v>
      </c>
      <c r="F1186" s="91">
        <v>455</v>
      </c>
      <c r="G1186" s="20"/>
      <c r="H1186" s="20"/>
      <c r="J1186" s="6" t="s">
        <v>1565</v>
      </c>
      <c r="M1186" s="72" t="s">
        <v>1574</v>
      </c>
      <c r="N1186" s="72" t="s">
        <v>84</v>
      </c>
      <c r="O1186" s="70"/>
      <c r="Q1186" s="8"/>
      <c r="R1186" s="88"/>
    </row>
    <row r="1187" spans="1:18" x14ac:dyDescent="0.25">
      <c r="A1187" s="81"/>
      <c r="B1187" s="99"/>
      <c r="C1187" s="96"/>
      <c r="D1187" s="96"/>
      <c r="E1187" s="96"/>
      <c r="F1187" s="93"/>
      <c r="J1187" t="s">
        <v>1564</v>
      </c>
      <c r="M1187" s="73"/>
      <c r="N1187" s="73"/>
      <c r="O1187" s="71"/>
      <c r="R1187" s="90"/>
    </row>
    <row r="1188" spans="1:18" s="6" customFormat="1" x14ac:dyDescent="0.25">
      <c r="A1188" s="80">
        <f>$A$2+313</f>
        <v>314</v>
      </c>
      <c r="B1188" s="97">
        <v>19</v>
      </c>
      <c r="C1188" s="94">
        <v>8</v>
      </c>
      <c r="D1188" s="94">
        <v>1729</v>
      </c>
      <c r="E1188" s="94">
        <f>F1188-5</f>
        <v>450</v>
      </c>
      <c r="F1188" s="91">
        <v>455</v>
      </c>
      <c r="G1188" s="20"/>
      <c r="H1188" s="20"/>
      <c r="I1188" s="6" t="s">
        <v>27</v>
      </c>
      <c r="J1188" s="6" t="s">
        <v>1578</v>
      </c>
      <c r="L1188" s="6" t="s">
        <v>1580</v>
      </c>
      <c r="M1188" s="72" t="s">
        <v>206</v>
      </c>
      <c r="N1188" s="72" t="s">
        <v>1544</v>
      </c>
      <c r="O1188" s="70" t="s">
        <v>1577</v>
      </c>
      <c r="Q1188" s="8"/>
      <c r="R1188" s="88"/>
    </row>
    <row r="1189" spans="1:18" x14ac:dyDescent="0.25">
      <c r="A1189" s="87"/>
      <c r="B1189" s="98"/>
      <c r="C1189" s="95"/>
      <c r="D1189" s="95"/>
      <c r="E1189" s="95"/>
      <c r="F1189" s="92"/>
      <c r="J1189" t="s">
        <v>1579</v>
      </c>
      <c r="L1189" t="s">
        <v>1581</v>
      </c>
      <c r="M1189" s="83"/>
      <c r="N1189" s="83"/>
      <c r="O1189" s="82"/>
      <c r="R1189" s="89"/>
    </row>
    <row r="1190" spans="1:18" x14ac:dyDescent="0.25">
      <c r="A1190" s="81"/>
      <c r="B1190" s="99"/>
      <c r="C1190" s="96"/>
      <c r="D1190" s="96"/>
      <c r="E1190" s="96"/>
      <c r="F1190" s="93"/>
      <c r="J1190" t="s">
        <v>1575</v>
      </c>
      <c r="L1190" t="s">
        <v>1576</v>
      </c>
      <c r="M1190" s="73"/>
      <c r="N1190" s="73"/>
      <c r="O1190" s="71"/>
      <c r="R1190" s="90"/>
    </row>
    <row r="1191" spans="1:18" s="6" customFormat="1" x14ac:dyDescent="0.25">
      <c r="A1191" s="80">
        <f>$A$2+314</f>
        <v>315</v>
      </c>
      <c r="B1191" s="97">
        <v>23</v>
      </c>
      <c r="C1191" s="94">
        <v>8</v>
      </c>
      <c r="D1191" s="94">
        <v>1729</v>
      </c>
      <c r="E1191" s="94">
        <f>F1191-5</f>
        <v>451</v>
      </c>
      <c r="F1191" s="91">
        <v>456</v>
      </c>
      <c r="G1191" s="20" t="s">
        <v>1582</v>
      </c>
      <c r="H1191" s="20" t="s">
        <v>1061</v>
      </c>
      <c r="J1191" s="6" t="s">
        <v>1582</v>
      </c>
      <c r="M1191" s="72" t="s">
        <v>244</v>
      </c>
      <c r="N1191" s="72" t="s">
        <v>53</v>
      </c>
      <c r="O1191" s="70" t="s">
        <v>1583</v>
      </c>
      <c r="Q1191" s="8"/>
      <c r="R1191" s="100"/>
    </row>
    <row r="1192" spans="1:18" x14ac:dyDescent="0.25">
      <c r="A1192" s="81"/>
      <c r="B1192" s="99"/>
      <c r="C1192" s="96"/>
      <c r="D1192" s="96"/>
      <c r="E1192" s="96"/>
      <c r="F1192" s="93"/>
      <c r="J1192" t="s">
        <v>1061</v>
      </c>
      <c r="M1192" s="73"/>
      <c r="N1192" s="73"/>
      <c r="O1192" s="71"/>
      <c r="R1192" s="102"/>
    </row>
    <row r="1193" spans="1:18" s="6" customFormat="1" x14ac:dyDescent="0.25">
      <c r="A1193" s="80">
        <f>$A$2+315</f>
        <v>316</v>
      </c>
      <c r="B1193" s="97">
        <v>26</v>
      </c>
      <c r="C1193" s="94">
        <v>8</v>
      </c>
      <c r="D1193" s="94">
        <v>1729</v>
      </c>
      <c r="E1193" s="94">
        <f>F1193-5</f>
        <v>451</v>
      </c>
      <c r="F1193" s="91">
        <v>456</v>
      </c>
      <c r="G1193" s="20" t="s">
        <v>654</v>
      </c>
      <c r="H1193" s="20" t="s">
        <v>1465</v>
      </c>
      <c r="J1193" s="6" t="s">
        <v>654</v>
      </c>
      <c r="M1193" s="72" t="s">
        <v>1584</v>
      </c>
      <c r="N1193" s="72" t="s">
        <v>53</v>
      </c>
      <c r="O1193" s="70" t="s">
        <v>1592</v>
      </c>
      <c r="Q1193" s="8"/>
      <c r="R1193" s="88"/>
    </row>
    <row r="1194" spans="1:18" x14ac:dyDescent="0.25">
      <c r="A1194" s="87"/>
      <c r="B1194" s="98"/>
      <c r="C1194" s="95"/>
      <c r="D1194" s="95"/>
      <c r="E1194" s="95"/>
      <c r="F1194" s="92"/>
      <c r="J1194" t="s">
        <v>1465</v>
      </c>
      <c r="K1194" t="s">
        <v>1166</v>
      </c>
      <c r="M1194" s="83"/>
      <c r="N1194" s="83"/>
      <c r="O1194" s="82"/>
      <c r="R1194" s="89"/>
    </row>
    <row r="1195" spans="1:18" x14ac:dyDescent="0.25">
      <c r="A1195" s="81"/>
      <c r="B1195" s="99"/>
      <c r="C1195" s="96"/>
      <c r="D1195" s="96"/>
      <c r="E1195" s="96"/>
      <c r="F1195" s="93"/>
      <c r="J1195" t="s">
        <v>1305</v>
      </c>
      <c r="L1195" t="s">
        <v>1585</v>
      </c>
      <c r="M1195" s="73"/>
      <c r="N1195" s="73"/>
      <c r="O1195" s="71"/>
      <c r="R1195" s="90"/>
    </row>
    <row r="1196" spans="1:18" s="6" customFormat="1" x14ac:dyDescent="0.25">
      <c r="A1196" s="80">
        <f>$A$2+316</f>
        <v>317</v>
      </c>
      <c r="B1196" s="97">
        <v>26</v>
      </c>
      <c r="C1196" s="94">
        <v>8</v>
      </c>
      <c r="D1196" s="94">
        <v>1729</v>
      </c>
      <c r="E1196" s="94">
        <f>F1196-5</f>
        <v>451</v>
      </c>
      <c r="F1196" s="91">
        <v>456</v>
      </c>
      <c r="G1196" s="20" t="s">
        <v>1296</v>
      </c>
      <c r="H1196" s="20" t="s">
        <v>601</v>
      </c>
      <c r="I1196" s="6" t="s">
        <v>104</v>
      </c>
      <c r="J1196" s="6" t="s">
        <v>1296</v>
      </c>
      <c r="M1196" s="72" t="s">
        <v>1589</v>
      </c>
      <c r="N1196" s="72" t="s">
        <v>9</v>
      </c>
      <c r="O1196" s="70" t="s">
        <v>1590</v>
      </c>
      <c r="Q1196" s="8"/>
      <c r="R1196" s="88" t="s">
        <v>1456</v>
      </c>
    </row>
    <row r="1197" spans="1:18" x14ac:dyDescent="0.25">
      <c r="A1197" s="87"/>
      <c r="B1197" s="98"/>
      <c r="C1197" s="95"/>
      <c r="D1197" s="95"/>
      <c r="E1197" s="95"/>
      <c r="F1197" s="92"/>
      <c r="J1197" t="s">
        <v>601</v>
      </c>
      <c r="M1197" s="83"/>
      <c r="N1197" s="83"/>
      <c r="O1197" s="82"/>
      <c r="R1197" s="89"/>
    </row>
    <row r="1198" spans="1:18" x14ac:dyDescent="0.25">
      <c r="A1198" s="87"/>
      <c r="B1198" s="98"/>
      <c r="C1198" s="95"/>
      <c r="D1198" s="95"/>
      <c r="E1198" s="95"/>
      <c r="F1198" s="92"/>
      <c r="J1198" t="s">
        <v>1305</v>
      </c>
      <c r="L1198" t="s">
        <v>1587</v>
      </c>
      <c r="M1198" s="83"/>
      <c r="N1198" s="83"/>
      <c r="O1198" s="82"/>
      <c r="R1198" s="89"/>
    </row>
    <row r="1199" spans="1:18" x14ac:dyDescent="0.25">
      <c r="A1199" s="87"/>
      <c r="B1199" s="98"/>
      <c r="C1199" s="95"/>
      <c r="D1199" s="95"/>
      <c r="E1199" s="95"/>
      <c r="F1199" s="92"/>
      <c r="I1199" t="s">
        <v>31</v>
      </c>
      <c r="J1199" t="s">
        <v>1586</v>
      </c>
      <c r="M1199" s="83"/>
      <c r="N1199" s="83"/>
      <c r="O1199" s="82"/>
      <c r="R1199" s="89"/>
    </row>
    <row r="1200" spans="1:18" x14ac:dyDescent="0.25">
      <c r="A1200" s="81"/>
      <c r="B1200" s="99"/>
      <c r="C1200" s="96"/>
      <c r="D1200" s="96"/>
      <c r="E1200" s="96"/>
      <c r="F1200" s="93"/>
      <c r="I1200" t="s">
        <v>31</v>
      </c>
      <c r="J1200" t="s">
        <v>1588</v>
      </c>
      <c r="M1200" s="73"/>
      <c r="N1200" s="73"/>
      <c r="O1200" s="71"/>
      <c r="R1200" s="90"/>
    </row>
    <row r="1201" spans="1:18" s="6" customFormat="1" x14ac:dyDescent="0.25">
      <c r="A1201" s="80">
        <f>$A$2+317</f>
        <v>318</v>
      </c>
      <c r="B1201" s="97">
        <v>26</v>
      </c>
      <c r="C1201" s="94">
        <v>8</v>
      </c>
      <c r="D1201" s="94">
        <v>1729</v>
      </c>
      <c r="E1201" s="94">
        <f>F1201-5</f>
        <v>452</v>
      </c>
      <c r="F1201" s="91">
        <v>457</v>
      </c>
      <c r="G1201" s="20" t="s">
        <v>601</v>
      </c>
      <c r="H1201" s="20" t="s">
        <v>1296</v>
      </c>
      <c r="J1201" s="6" t="s">
        <v>601</v>
      </c>
      <c r="M1201" s="72" t="s">
        <v>13</v>
      </c>
      <c r="N1201" s="72" t="s">
        <v>53</v>
      </c>
      <c r="O1201" s="70" t="s">
        <v>1591</v>
      </c>
      <c r="Q1201" s="8"/>
      <c r="R1201" s="88"/>
    </row>
    <row r="1202" spans="1:18" x14ac:dyDescent="0.25">
      <c r="A1202" s="81"/>
      <c r="B1202" s="99"/>
      <c r="C1202" s="96"/>
      <c r="D1202" s="96"/>
      <c r="E1202" s="96"/>
      <c r="F1202" s="93"/>
      <c r="J1202" t="s">
        <v>1296</v>
      </c>
      <c r="M1202" s="73"/>
      <c r="N1202" s="73"/>
      <c r="O1202" s="71"/>
      <c r="R1202" s="90"/>
    </row>
    <row r="1203" spans="1:18" s="6" customFormat="1" x14ac:dyDescent="0.25">
      <c r="A1203" s="80">
        <f>$A$2+318</f>
        <v>319</v>
      </c>
      <c r="B1203" s="97">
        <v>26</v>
      </c>
      <c r="C1203" s="94">
        <v>8</v>
      </c>
      <c r="D1203" s="94">
        <v>1729</v>
      </c>
      <c r="E1203" s="94">
        <f>F1203-5</f>
        <v>452</v>
      </c>
      <c r="F1203" s="91">
        <v>457</v>
      </c>
      <c r="G1203" s="20" t="s">
        <v>774</v>
      </c>
      <c r="H1203" s="20" t="s">
        <v>214</v>
      </c>
      <c r="I1203" s="6" t="s">
        <v>27</v>
      </c>
      <c r="J1203" s="6" t="s">
        <v>774</v>
      </c>
      <c r="M1203" s="72" t="s">
        <v>1584</v>
      </c>
      <c r="N1203" s="72" t="s">
        <v>9</v>
      </c>
      <c r="O1203" s="70" t="s">
        <v>1595</v>
      </c>
      <c r="Q1203" s="8"/>
      <c r="R1203" s="88"/>
    </row>
    <row r="1204" spans="1:18" x14ac:dyDescent="0.25">
      <c r="A1204" s="87"/>
      <c r="B1204" s="98"/>
      <c r="C1204" s="95"/>
      <c r="D1204" s="95"/>
      <c r="E1204" s="95"/>
      <c r="F1204" s="92"/>
      <c r="J1204" t="s">
        <v>214</v>
      </c>
      <c r="M1204" s="83"/>
      <c r="N1204" s="83"/>
      <c r="O1204" s="82"/>
      <c r="R1204" s="89"/>
    </row>
    <row r="1205" spans="1:18" x14ac:dyDescent="0.25">
      <c r="A1205" s="87"/>
      <c r="B1205" s="98"/>
      <c r="C1205" s="95"/>
      <c r="D1205" s="95"/>
      <c r="E1205" s="95"/>
      <c r="F1205" s="92"/>
      <c r="I1205" t="s">
        <v>35</v>
      </c>
      <c r="J1205" t="s">
        <v>1593</v>
      </c>
      <c r="M1205" s="83"/>
      <c r="N1205" s="83"/>
      <c r="O1205" s="82"/>
      <c r="R1205" s="89"/>
    </row>
    <row r="1206" spans="1:18" x14ac:dyDescent="0.25">
      <c r="A1206" s="87"/>
      <c r="B1206" s="98"/>
      <c r="C1206" s="95"/>
      <c r="D1206" s="95"/>
      <c r="E1206" s="95"/>
      <c r="F1206" s="92"/>
      <c r="J1206" t="s">
        <v>1465</v>
      </c>
      <c r="K1206" t="s">
        <v>1166</v>
      </c>
      <c r="M1206" s="83"/>
      <c r="N1206" s="83"/>
      <c r="O1206" s="82"/>
      <c r="R1206" s="89"/>
    </row>
    <row r="1207" spans="1:18" x14ac:dyDescent="0.25">
      <c r="A1207" s="81"/>
      <c r="B1207" s="99"/>
      <c r="C1207" s="96"/>
      <c r="D1207" s="96"/>
      <c r="E1207" s="96"/>
      <c r="F1207" s="93"/>
      <c r="J1207" t="s">
        <v>1594</v>
      </c>
      <c r="M1207" s="73"/>
      <c r="N1207" s="73"/>
      <c r="O1207" s="71"/>
      <c r="R1207" s="90"/>
    </row>
    <row r="1208" spans="1:18" s="6" customFormat="1" x14ac:dyDescent="0.25">
      <c r="A1208" s="80">
        <f>$A$2+319</f>
        <v>320</v>
      </c>
      <c r="B1208" s="97">
        <v>26</v>
      </c>
      <c r="C1208" s="94">
        <v>8</v>
      </c>
      <c r="D1208" s="94">
        <v>1729</v>
      </c>
      <c r="E1208" s="94">
        <f>F1208-5</f>
        <v>453</v>
      </c>
      <c r="F1208" s="91">
        <v>458</v>
      </c>
      <c r="G1208" s="20" t="s">
        <v>654</v>
      </c>
      <c r="H1208" s="20" t="s">
        <v>734</v>
      </c>
      <c r="J1208" s="6" t="s">
        <v>654</v>
      </c>
      <c r="M1208" s="72" t="s">
        <v>1597</v>
      </c>
      <c r="N1208" s="72" t="s">
        <v>53</v>
      </c>
      <c r="O1208" s="70" t="s">
        <v>1598</v>
      </c>
      <c r="P1208" s="6" t="s">
        <v>1596</v>
      </c>
      <c r="Q1208" s="8"/>
      <c r="R1208" s="88"/>
    </row>
    <row r="1209" spans="1:18" x14ac:dyDescent="0.25">
      <c r="A1209" s="87"/>
      <c r="B1209" s="98"/>
      <c r="C1209" s="95"/>
      <c r="D1209" s="95"/>
      <c r="E1209" s="95"/>
      <c r="F1209" s="92"/>
      <c r="J1209" t="s">
        <v>1465</v>
      </c>
      <c r="K1209" t="s">
        <v>1166</v>
      </c>
      <c r="M1209" s="83"/>
      <c r="N1209" s="83"/>
      <c r="O1209" s="82"/>
      <c r="R1209" s="89"/>
    </row>
    <row r="1210" spans="1:18" x14ac:dyDescent="0.25">
      <c r="A1210" s="87"/>
      <c r="B1210" s="98"/>
      <c r="C1210" s="95"/>
      <c r="D1210" s="95"/>
      <c r="E1210" s="95"/>
      <c r="F1210" s="92"/>
      <c r="J1210" t="s">
        <v>734</v>
      </c>
      <c r="M1210" s="83"/>
      <c r="N1210" s="83"/>
      <c r="O1210" s="82"/>
      <c r="P1210" t="s">
        <v>1599</v>
      </c>
      <c r="R1210" s="89"/>
    </row>
    <row r="1211" spans="1:18" x14ac:dyDescent="0.25">
      <c r="A1211" s="81"/>
      <c r="B1211" s="99"/>
      <c r="C1211" s="96"/>
      <c r="D1211" s="96"/>
      <c r="E1211" s="96"/>
      <c r="F1211" s="93"/>
      <c r="J1211" t="s">
        <v>1600</v>
      </c>
      <c r="L1211" t="s">
        <v>187</v>
      </c>
      <c r="M1211" s="73"/>
      <c r="N1211" s="73"/>
      <c r="O1211" s="71"/>
      <c r="R1211" s="90"/>
    </row>
    <row r="1212" spans="1:18" s="6" customFormat="1" x14ac:dyDescent="0.25">
      <c r="A1212" s="80">
        <f>$A$2+320</f>
        <v>321</v>
      </c>
      <c r="B1212" s="97">
        <v>29</v>
      </c>
      <c r="C1212" s="94">
        <v>8</v>
      </c>
      <c r="D1212" s="94">
        <v>1729</v>
      </c>
      <c r="E1212" s="94">
        <f>F1212-5</f>
        <v>454</v>
      </c>
      <c r="F1212" s="91">
        <v>459</v>
      </c>
      <c r="G1212" s="20" t="s">
        <v>24</v>
      </c>
      <c r="H1212" s="20" t="s">
        <v>643</v>
      </c>
      <c r="I1212" s="6" t="s">
        <v>27</v>
      </c>
      <c r="J1212" s="6" t="s">
        <v>24</v>
      </c>
      <c r="M1212" s="72" t="s">
        <v>1230</v>
      </c>
      <c r="N1212" s="72" t="s">
        <v>20</v>
      </c>
      <c r="O1212" s="70" t="s">
        <v>1601</v>
      </c>
      <c r="Q1212" s="8"/>
      <c r="R1212" s="88"/>
    </row>
    <row r="1213" spans="1:18" x14ac:dyDescent="0.25">
      <c r="A1213" s="81"/>
      <c r="B1213" s="99"/>
      <c r="C1213" s="96"/>
      <c r="D1213" s="96"/>
      <c r="E1213" s="96"/>
      <c r="F1213" s="93"/>
      <c r="I1213" t="s">
        <v>103</v>
      </c>
      <c r="J1213" t="s">
        <v>643</v>
      </c>
      <c r="M1213" s="73"/>
      <c r="N1213" s="73"/>
      <c r="O1213" s="71"/>
      <c r="R1213" s="90"/>
    </row>
    <row r="1214" spans="1:18" s="6" customFormat="1" x14ac:dyDescent="0.25">
      <c r="A1214" s="80">
        <f>$A$2+321</f>
        <v>322</v>
      </c>
      <c r="B1214" s="97">
        <v>16</v>
      </c>
      <c r="C1214" s="94">
        <v>9</v>
      </c>
      <c r="D1214" s="94">
        <v>1729</v>
      </c>
      <c r="E1214" s="94">
        <f>F1214-5</f>
        <v>454</v>
      </c>
      <c r="F1214" s="91">
        <v>459</v>
      </c>
      <c r="G1214" s="20" t="s">
        <v>1527</v>
      </c>
      <c r="H1214" s="20" t="s">
        <v>1349</v>
      </c>
      <c r="I1214" s="6" t="s">
        <v>27</v>
      </c>
      <c r="J1214" s="6" t="s">
        <v>1349</v>
      </c>
      <c r="M1214" s="72"/>
      <c r="N1214" s="72" t="s">
        <v>344</v>
      </c>
      <c r="O1214" s="70" t="s">
        <v>1602</v>
      </c>
      <c r="Q1214" s="8"/>
      <c r="R1214" s="88"/>
    </row>
    <row r="1215" spans="1:18" x14ac:dyDescent="0.25">
      <c r="A1215" s="87"/>
      <c r="B1215" s="98"/>
      <c r="C1215" s="95"/>
      <c r="D1215" s="95"/>
      <c r="E1215" s="95"/>
      <c r="F1215" s="92"/>
      <c r="H1215" s="18" t="s">
        <v>836</v>
      </c>
      <c r="J1215" t="s">
        <v>836</v>
      </c>
      <c r="M1215" s="83"/>
      <c r="N1215" s="83"/>
      <c r="O1215" s="82"/>
      <c r="R1215" s="89"/>
    </row>
    <row r="1216" spans="1:18" x14ac:dyDescent="0.25">
      <c r="A1216" s="87"/>
      <c r="B1216" s="98"/>
      <c r="C1216" s="95"/>
      <c r="D1216" s="95"/>
      <c r="E1216" s="95"/>
      <c r="F1216" s="92"/>
      <c r="H1216" s="18" t="s">
        <v>530</v>
      </c>
      <c r="J1216" t="s">
        <v>530</v>
      </c>
      <c r="M1216" s="83"/>
      <c r="N1216" s="83"/>
      <c r="O1216" s="82"/>
      <c r="R1216" s="89"/>
    </row>
    <row r="1217" spans="1:18" x14ac:dyDescent="0.25">
      <c r="A1217" s="81"/>
      <c r="B1217" s="99"/>
      <c r="C1217" s="96"/>
      <c r="D1217" s="96"/>
      <c r="E1217" s="96"/>
      <c r="F1217" s="93"/>
      <c r="I1217" t="s">
        <v>27</v>
      </c>
      <c r="J1217" t="s">
        <v>1527</v>
      </c>
      <c r="M1217" s="73"/>
      <c r="N1217" s="73"/>
      <c r="O1217" s="71"/>
      <c r="R1217" s="90"/>
    </row>
    <row r="1218" spans="1:18" s="6" customFormat="1" x14ac:dyDescent="0.25">
      <c r="A1218" s="80">
        <f>$A$2+322</f>
        <v>323</v>
      </c>
      <c r="B1218" s="97">
        <v>16</v>
      </c>
      <c r="C1218" s="94">
        <v>9</v>
      </c>
      <c r="D1218" s="94">
        <v>1729</v>
      </c>
      <c r="E1218" s="94">
        <f>F1218-5</f>
        <v>454</v>
      </c>
      <c r="F1218" s="91">
        <v>459</v>
      </c>
      <c r="G1218" s="20" t="s">
        <v>930</v>
      </c>
      <c r="H1218" s="20" t="s">
        <v>838</v>
      </c>
      <c r="J1218" s="6" t="s">
        <v>930</v>
      </c>
      <c r="M1218" s="72" t="s">
        <v>1603</v>
      </c>
      <c r="N1218" s="72" t="s">
        <v>84</v>
      </c>
      <c r="O1218" s="70" t="s">
        <v>1604</v>
      </c>
      <c r="Q1218" s="8"/>
      <c r="R1218" s="88"/>
    </row>
    <row r="1219" spans="1:18" x14ac:dyDescent="0.25">
      <c r="A1219" s="81"/>
      <c r="B1219" s="99"/>
      <c r="C1219" s="96"/>
      <c r="D1219" s="96"/>
      <c r="E1219" s="96"/>
      <c r="F1219" s="93"/>
      <c r="J1219" t="s">
        <v>838</v>
      </c>
      <c r="M1219" s="73"/>
      <c r="N1219" s="73"/>
      <c r="O1219" s="71"/>
      <c r="R1219" s="90"/>
    </row>
    <row r="1220" spans="1:18" s="6" customFormat="1" x14ac:dyDescent="0.25">
      <c r="A1220" s="80">
        <f>$A$2+323</f>
        <v>324</v>
      </c>
      <c r="B1220" s="97">
        <v>17</v>
      </c>
      <c r="C1220" s="94">
        <v>9</v>
      </c>
      <c r="D1220" s="94">
        <v>1729</v>
      </c>
      <c r="E1220" s="94">
        <f>F1220-5</f>
        <v>454</v>
      </c>
      <c r="F1220" s="91">
        <v>459</v>
      </c>
      <c r="G1220" s="20" t="s">
        <v>1605</v>
      </c>
      <c r="H1220" s="20" t="s">
        <v>1606</v>
      </c>
      <c r="I1220" s="6" t="s">
        <v>27</v>
      </c>
      <c r="J1220" s="6" t="s">
        <v>1605</v>
      </c>
      <c r="M1220" s="72" t="s">
        <v>13</v>
      </c>
      <c r="N1220" s="72" t="s">
        <v>9</v>
      </c>
      <c r="O1220" s="70" t="s">
        <v>1611</v>
      </c>
      <c r="Q1220" s="88" t="s">
        <v>1456</v>
      </c>
      <c r="R1220" s="88"/>
    </row>
    <row r="1221" spans="1:18" x14ac:dyDescent="0.25">
      <c r="A1221" s="87"/>
      <c r="B1221" s="98"/>
      <c r="C1221" s="95"/>
      <c r="D1221" s="95"/>
      <c r="E1221" s="95"/>
      <c r="F1221" s="92"/>
      <c r="J1221" t="s">
        <v>1609</v>
      </c>
      <c r="L1221" t="s">
        <v>1610</v>
      </c>
      <c r="M1221" s="83"/>
      <c r="N1221" s="83"/>
      <c r="O1221" s="82"/>
      <c r="Q1221" s="89"/>
      <c r="R1221" s="89"/>
    </row>
    <row r="1222" spans="1:18" x14ac:dyDescent="0.25">
      <c r="A1222" s="87"/>
      <c r="B1222" s="98"/>
      <c r="C1222" s="95"/>
      <c r="D1222" s="95"/>
      <c r="E1222" s="95"/>
      <c r="F1222" s="92"/>
      <c r="I1222" t="s">
        <v>27</v>
      </c>
      <c r="J1222" t="s">
        <v>1606</v>
      </c>
      <c r="M1222" s="83"/>
      <c r="N1222" s="83"/>
      <c r="O1222" s="82"/>
      <c r="Q1222" s="89"/>
      <c r="R1222" s="89"/>
    </row>
    <row r="1223" spans="1:18" x14ac:dyDescent="0.25">
      <c r="A1223" s="87"/>
      <c r="B1223" s="98"/>
      <c r="C1223" s="95"/>
      <c r="D1223" s="95"/>
      <c r="E1223" s="95"/>
      <c r="F1223" s="92"/>
      <c r="J1223" t="s">
        <v>834</v>
      </c>
      <c r="L1223" t="s">
        <v>1608</v>
      </c>
      <c r="M1223" s="83"/>
      <c r="N1223" s="83"/>
      <c r="O1223" s="82"/>
      <c r="Q1223" s="89"/>
      <c r="R1223" s="89"/>
    </row>
    <row r="1224" spans="1:18" x14ac:dyDescent="0.25">
      <c r="A1224" s="87"/>
      <c r="B1224" s="98"/>
      <c r="C1224" s="95"/>
      <c r="D1224" s="95"/>
      <c r="E1224" s="95"/>
      <c r="F1224" s="92"/>
      <c r="I1224" t="s">
        <v>31</v>
      </c>
      <c r="J1224" t="s">
        <v>1607</v>
      </c>
      <c r="M1224" s="83"/>
      <c r="N1224" s="83"/>
      <c r="O1224" s="82"/>
      <c r="Q1224" s="89"/>
      <c r="R1224" s="89"/>
    </row>
    <row r="1225" spans="1:18" x14ac:dyDescent="0.25">
      <c r="A1225" s="81"/>
      <c r="B1225" s="99"/>
      <c r="C1225" s="96"/>
      <c r="D1225" s="96"/>
      <c r="E1225" s="96"/>
      <c r="F1225" s="93"/>
      <c r="I1225" t="s">
        <v>27</v>
      </c>
      <c r="J1225" t="s">
        <v>899</v>
      </c>
      <c r="L1225" t="s">
        <v>1613</v>
      </c>
      <c r="M1225" s="73"/>
      <c r="N1225" s="73"/>
      <c r="O1225" s="71"/>
      <c r="Q1225" s="90"/>
      <c r="R1225" s="90"/>
    </row>
    <row r="1226" spans="1:18" s="6" customFormat="1" x14ac:dyDescent="0.25">
      <c r="A1226" s="80">
        <f>$A$2+324</f>
        <v>325</v>
      </c>
      <c r="B1226" s="97">
        <v>17</v>
      </c>
      <c r="C1226" s="94">
        <v>9</v>
      </c>
      <c r="D1226" s="94">
        <v>1729</v>
      </c>
      <c r="E1226" s="94">
        <f>F1226-5</f>
        <v>455</v>
      </c>
      <c r="F1226" s="91">
        <v>460</v>
      </c>
      <c r="G1226" s="20" t="s">
        <v>1612</v>
      </c>
      <c r="H1226" s="20" t="s">
        <v>1606</v>
      </c>
      <c r="J1226" s="6" t="s">
        <v>1612</v>
      </c>
      <c r="M1226" s="72" t="s">
        <v>13</v>
      </c>
      <c r="N1226" s="72" t="s">
        <v>53</v>
      </c>
      <c r="O1226" s="70" t="s">
        <v>1614</v>
      </c>
      <c r="Q1226" s="88" t="s">
        <v>1456</v>
      </c>
      <c r="R1226" s="88"/>
    </row>
    <row r="1227" spans="1:18" x14ac:dyDescent="0.25">
      <c r="A1227" s="87"/>
      <c r="B1227" s="98"/>
      <c r="C1227" s="95"/>
      <c r="D1227" s="95"/>
      <c r="E1227" s="95"/>
      <c r="F1227" s="92"/>
      <c r="J1227" t="s">
        <v>1606</v>
      </c>
      <c r="M1227" s="83"/>
      <c r="N1227" s="83"/>
      <c r="O1227" s="82"/>
      <c r="Q1227" s="89"/>
      <c r="R1227" s="89"/>
    </row>
    <row r="1228" spans="1:18" x14ac:dyDescent="0.25">
      <c r="A1228" s="81"/>
      <c r="B1228" s="99"/>
      <c r="C1228" s="96"/>
      <c r="D1228" s="96"/>
      <c r="E1228" s="96"/>
      <c r="F1228" s="93"/>
      <c r="J1228" t="s">
        <v>1609</v>
      </c>
      <c r="L1228" t="s">
        <v>1610</v>
      </c>
      <c r="M1228" s="73"/>
      <c r="N1228" s="73"/>
      <c r="O1228" s="71"/>
      <c r="Q1228" s="90"/>
      <c r="R1228" s="90"/>
    </row>
    <row r="1229" spans="1:18" s="6" customFormat="1" x14ac:dyDescent="0.25">
      <c r="A1229" s="80">
        <f>$A$2+325</f>
        <v>326</v>
      </c>
      <c r="B1229" s="97">
        <v>17</v>
      </c>
      <c r="C1229" s="94">
        <v>9</v>
      </c>
      <c r="D1229" s="94">
        <v>1729</v>
      </c>
      <c r="E1229" s="94">
        <f>F1229-5</f>
        <v>456</v>
      </c>
      <c r="F1229" s="91">
        <v>461</v>
      </c>
      <c r="G1229" s="20" t="s">
        <v>986</v>
      </c>
      <c r="H1229" s="20" t="s">
        <v>1527</v>
      </c>
      <c r="J1229" s="6" t="s">
        <v>986</v>
      </c>
      <c r="M1229" s="72" t="s">
        <v>1383</v>
      </c>
      <c r="N1229" s="72" t="s">
        <v>84</v>
      </c>
      <c r="O1229" s="70" t="s">
        <v>1615</v>
      </c>
      <c r="Q1229" s="88"/>
      <c r="R1229" s="88"/>
    </row>
    <row r="1230" spans="1:18" x14ac:dyDescent="0.25">
      <c r="A1230" s="81"/>
      <c r="B1230" s="99"/>
      <c r="C1230" s="96"/>
      <c r="D1230" s="96"/>
      <c r="E1230" s="96"/>
      <c r="F1230" s="93"/>
      <c r="J1230" t="s">
        <v>1527</v>
      </c>
      <c r="M1230" s="73"/>
      <c r="N1230" s="73"/>
      <c r="O1230" s="71"/>
      <c r="Q1230" s="90"/>
      <c r="R1230" s="90"/>
    </row>
    <row r="1231" spans="1:18" s="6" customFormat="1" x14ac:dyDescent="0.25">
      <c r="A1231" s="80">
        <f>$A$2+326</f>
        <v>327</v>
      </c>
      <c r="B1231" s="97">
        <v>17</v>
      </c>
      <c r="C1231" s="94">
        <v>9</v>
      </c>
      <c r="D1231" s="94">
        <v>1729</v>
      </c>
      <c r="E1231" s="94">
        <f>F1231-5</f>
        <v>456</v>
      </c>
      <c r="F1231" s="91">
        <v>461</v>
      </c>
      <c r="G1231" s="20" t="s">
        <v>1349</v>
      </c>
      <c r="H1231" s="20" t="s">
        <v>1533</v>
      </c>
      <c r="I1231" s="6" t="s">
        <v>27</v>
      </c>
      <c r="J1231" s="6" t="s">
        <v>1349</v>
      </c>
      <c r="M1231" s="72" t="s">
        <v>244</v>
      </c>
      <c r="N1231" s="72" t="s">
        <v>20</v>
      </c>
      <c r="O1231" s="70" t="s">
        <v>1616</v>
      </c>
      <c r="Q1231" s="88"/>
      <c r="R1231" s="88"/>
    </row>
    <row r="1232" spans="1:18" x14ac:dyDescent="0.25">
      <c r="A1232" s="81"/>
      <c r="B1232" s="99"/>
      <c r="C1232" s="96"/>
      <c r="D1232" s="96"/>
      <c r="E1232" s="96"/>
      <c r="F1232" s="93"/>
      <c r="I1232" t="s">
        <v>31</v>
      </c>
      <c r="J1232" t="s">
        <v>1533</v>
      </c>
      <c r="M1232" s="73"/>
      <c r="N1232" s="73"/>
      <c r="O1232" s="71"/>
      <c r="Q1232" s="90"/>
      <c r="R1232" s="90"/>
    </row>
    <row r="1233" spans="1:18" s="6" customFormat="1" x14ac:dyDescent="0.25">
      <c r="A1233" s="80">
        <f>$A$2+327</f>
        <v>328</v>
      </c>
      <c r="B1233" s="97">
        <v>18</v>
      </c>
      <c r="C1233" s="94">
        <v>9</v>
      </c>
      <c r="D1233" s="94">
        <v>1729</v>
      </c>
      <c r="E1233" s="94">
        <f>F1233-5</f>
        <v>456</v>
      </c>
      <c r="F1233" s="91">
        <v>461</v>
      </c>
      <c r="G1233" s="20" t="s">
        <v>1617</v>
      </c>
      <c r="H1233" s="20" t="s">
        <v>1618</v>
      </c>
      <c r="I1233" s="6" t="s">
        <v>27</v>
      </c>
      <c r="J1233" s="6" t="s">
        <v>1618</v>
      </c>
      <c r="M1233" s="72" t="s">
        <v>1621</v>
      </c>
      <c r="N1233" s="72" t="s">
        <v>20</v>
      </c>
      <c r="O1233" s="70" t="s">
        <v>1620</v>
      </c>
      <c r="Q1233" s="88"/>
      <c r="R1233" s="88"/>
    </row>
    <row r="1234" spans="1:18" x14ac:dyDescent="0.25">
      <c r="A1234" s="87"/>
      <c r="B1234" s="98"/>
      <c r="C1234" s="95"/>
      <c r="D1234" s="95"/>
      <c r="E1234" s="95"/>
      <c r="F1234" s="92"/>
      <c r="H1234" s="18" t="s">
        <v>246</v>
      </c>
      <c r="J1234" t="s">
        <v>246</v>
      </c>
      <c r="M1234" s="83"/>
      <c r="N1234" s="83"/>
      <c r="O1234" s="82"/>
      <c r="Q1234" s="89"/>
      <c r="R1234" s="89"/>
    </row>
    <row r="1235" spans="1:18" x14ac:dyDescent="0.25">
      <c r="A1235" s="81"/>
      <c r="B1235" s="99"/>
      <c r="C1235" s="96"/>
      <c r="D1235" s="96"/>
      <c r="E1235" s="96"/>
      <c r="F1235" s="93"/>
      <c r="H1235" s="18" t="s">
        <v>1619</v>
      </c>
      <c r="J1235" t="s">
        <v>1619</v>
      </c>
      <c r="M1235" s="73"/>
      <c r="N1235" s="73"/>
      <c r="O1235" s="71"/>
      <c r="Q1235" s="90"/>
      <c r="R1235" s="90"/>
    </row>
    <row r="1236" spans="1:18" s="6" customFormat="1" x14ac:dyDescent="0.25">
      <c r="A1236" s="80">
        <f>$A$2+328</f>
        <v>329</v>
      </c>
      <c r="B1236" s="97">
        <v>18</v>
      </c>
      <c r="C1236" s="94">
        <v>9</v>
      </c>
      <c r="D1236" s="94">
        <v>1729</v>
      </c>
      <c r="E1236" s="94">
        <f>F1236-5</f>
        <v>456</v>
      </c>
      <c r="F1236" s="91">
        <v>461</v>
      </c>
      <c r="G1236" s="20" t="s">
        <v>916</v>
      </c>
      <c r="H1236" s="20" t="s">
        <v>298</v>
      </c>
      <c r="I1236" s="6" t="s">
        <v>27</v>
      </c>
      <c r="J1236" s="6" t="s">
        <v>916</v>
      </c>
      <c r="K1236" s="6" t="s">
        <v>735</v>
      </c>
      <c r="M1236" s="72" t="s">
        <v>13</v>
      </c>
      <c r="N1236" s="72" t="s">
        <v>20</v>
      </c>
      <c r="O1236" s="70" t="s">
        <v>1622</v>
      </c>
      <c r="Q1236" s="88"/>
      <c r="R1236" s="88"/>
    </row>
    <row r="1237" spans="1:18" x14ac:dyDescent="0.25">
      <c r="A1237" s="87"/>
      <c r="B1237" s="98"/>
      <c r="C1237" s="95"/>
      <c r="D1237" s="95"/>
      <c r="E1237" s="95"/>
      <c r="F1237" s="92"/>
      <c r="I1237" t="s">
        <v>27</v>
      </c>
      <c r="J1237" t="s">
        <v>298</v>
      </c>
      <c r="M1237" s="83"/>
      <c r="N1237" s="83"/>
      <c r="O1237" s="82"/>
      <c r="Q1237" s="89"/>
      <c r="R1237" s="89"/>
    </row>
    <row r="1238" spans="1:18" x14ac:dyDescent="0.25">
      <c r="A1238" s="81"/>
      <c r="B1238" s="99"/>
      <c r="C1238" s="96"/>
      <c r="D1238" s="96"/>
      <c r="E1238" s="96"/>
      <c r="F1238" s="93"/>
      <c r="J1238" t="s">
        <v>458</v>
      </c>
      <c r="K1238" t="s">
        <v>815</v>
      </c>
      <c r="M1238" s="73"/>
      <c r="N1238" s="73"/>
      <c r="O1238" s="71"/>
      <c r="Q1238" s="90"/>
      <c r="R1238" s="90"/>
    </row>
    <row r="1239" spans="1:18" s="6" customFormat="1" x14ac:dyDescent="0.25">
      <c r="A1239" s="80">
        <f>$A$2+329</f>
        <v>330</v>
      </c>
      <c r="B1239" s="97">
        <v>20</v>
      </c>
      <c r="C1239" s="94">
        <v>9</v>
      </c>
      <c r="D1239" s="94">
        <v>1729</v>
      </c>
      <c r="E1239" s="94">
        <f>F1239-5</f>
        <v>457</v>
      </c>
      <c r="F1239" s="91">
        <v>462</v>
      </c>
      <c r="G1239" s="20" t="s">
        <v>1623</v>
      </c>
      <c r="H1239" s="20" t="s">
        <v>342</v>
      </c>
      <c r="J1239" s="6" t="s">
        <v>342</v>
      </c>
      <c r="M1239" s="72" t="s">
        <v>1624</v>
      </c>
      <c r="N1239" s="72" t="s">
        <v>53</v>
      </c>
      <c r="O1239" s="70" t="s">
        <v>1625</v>
      </c>
      <c r="Q1239" s="88"/>
      <c r="R1239" s="88"/>
    </row>
    <row r="1240" spans="1:18" x14ac:dyDescent="0.25">
      <c r="A1240" s="81"/>
      <c r="B1240" s="99"/>
      <c r="C1240" s="96"/>
      <c r="D1240" s="96"/>
      <c r="E1240" s="96"/>
      <c r="F1240" s="93"/>
      <c r="H1240" s="18" t="s">
        <v>351</v>
      </c>
      <c r="J1240" t="s">
        <v>351</v>
      </c>
      <c r="M1240" s="73"/>
      <c r="N1240" s="73"/>
      <c r="O1240" s="71"/>
      <c r="Q1240" s="90"/>
      <c r="R1240" s="90"/>
    </row>
    <row r="1241" spans="1:18" s="6" customFormat="1" x14ac:dyDescent="0.25">
      <c r="A1241" s="80">
        <f>$A$2+330</f>
        <v>331</v>
      </c>
      <c r="B1241" s="97">
        <v>24</v>
      </c>
      <c r="C1241" s="94">
        <v>9</v>
      </c>
      <c r="D1241" s="94">
        <v>1729</v>
      </c>
      <c r="E1241" s="94">
        <f>F1241-5</f>
        <v>458</v>
      </c>
      <c r="F1241" s="91">
        <v>463</v>
      </c>
      <c r="G1241" s="20" t="s">
        <v>1250</v>
      </c>
      <c r="H1241" s="20" t="s">
        <v>601</v>
      </c>
      <c r="I1241" s="6" t="s">
        <v>27</v>
      </c>
      <c r="J1241" s="6" t="s">
        <v>601</v>
      </c>
      <c r="M1241" s="72"/>
      <c r="N1241" s="72" t="s">
        <v>344</v>
      </c>
      <c r="O1241" s="70"/>
      <c r="Q1241" s="88"/>
      <c r="R1241" s="88"/>
    </row>
    <row r="1242" spans="1:18" x14ac:dyDescent="0.25">
      <c r="A1242" s="81"/>
      <c r="B1242" s="99"/>
      <c r="C1242" s="96"/>
      <c r="D1242" s="96"/>
      <c r="E1242" s="96"/>
      <c r="F1242" s="93"/>
      <c r="I1242" t="s">
        <v>27</v>
      </c>
      <c r="J1242" t="s">
        <v>1250</v>
      </c>
      <c r="M1242" s="73"/>
      <c r="N1242" s="73"/>
      <c r="O1242" s="71"/>
      <c r="Q1242" s="90"/>
      <c r="R1242" s="90"/>
    </row>
    <row r="1243" spans="1:18" s="6" customFormat="1" x14ac:dyDescent="0.25">
      <c r="A1243" s="80">
        <f>$A$2+331</f>
        <v>332</v>
      </c>
      <c r="B1243" s="97">
        <v>24</v>
      </c>
      <c r="C1243" s="94">
        <v>9</v>
      </c>
      <c r="D1243" s="94">
        <v>1729</v>
      </c>
      <c r="E1243" s="94">
        <f>F1243-5</f>
        <v>458</v>
      </c>
      <c r="F1243" s="91">
        <v>463</v>
      </c>
      <c r="G1243" s="20" t="s">
        <v>838</v>
      </c>
      <c r="H1243" s="20" t="s">
        <v>930</v>
      </c>
      <c r="J1243" s="6" t="s">
        <v>838</v>
      </c>
      <c r="M1243" s="72" t="s">
        <v>527</v>
      </c>
      <c r="N1243" s="72" t="s">
        <v>53</v>
      </c>
      <c r="O1243" s="70" t="s">
        <v>1626</v>
      </c>
      <c r="Q1243" s="88"/>
      <c r="R1243" s="88"/>
    </row>
    <row r="1244" spans="1:18" x14ac:dyDescent="0.25">
      <c r="A1244" s="81"/>
      <c r="B1244" s="99"/>
      <c r="C1244" s="96"/>
      <c r="D1244" s="96"/>
      <c r="E1244" s="96"/>
      <c r="F1244" s="93"/>
      <c r="J1244" t="s">
        <v>930</v>
      </c>
      <c r="M1244" s="73"/>
      <c r="N1244" s="73"/>
      <c r="O1244" s="71"/>
      <c r="Q1244" s="90"/>
      <c r="R1244" s="90"/>
    </row>
    <row r="1245" spans="1:18" s="6" customFormat="1" ht="15.75" customHeight="1" x14ac:dyDescent="0.25">
      <c r="A1245" s="25">
        <f>$A$2+332</f>
        <v>333</v>
      </c>
      <c r="B1245" s="4">
        <v>24</v>
      </c>
      <c r="C1245" s="4">
        <v>9</v>
      </c>
      <c r="D1245" s="4">
        <v>1729</v>
      </c>
      <c r="E1245" s="4">
        <f>F1245-5</f>
        <v>458</v>
      </c>
      <c r="F1245" s="3">
        <v>463</v>
      </c>
      <c r="G1245" s="20"/>
      <c r="H1245" s="20"/>
      <c r="I1245" s="6" t="s">
        <v>27</v>
      </c>
      <c r="J1245" s="6" t="s">
        <v>930</v>
      </c>
      <c r="M1245" s="27" t="s">
        <v>289</v>
      </c>
      <c r="N1245" s="27" t="s">
        <v>266</v>
      </c>
      <c r="O1245" s="35"/>
      <c r="Q1245" s="44"/>
      <c r="R1245" s="44"/>
    </row>
    <row r="1246" spans="1:18" s="6" customFormat="1" x14ac:dyDescent="0.25">
      <c r="A1246" s="80">
        <f>$A$2+333</f>
        <v>334</v>
      </c>
      <c r="B1246" s="97">
        <v>26</v>
      </c>
      <c r="C1246" s="94">
        <v>9</v>
      </c>
      <c r="D1246" s="94">
        <v>1729</v>
      </c>
      <c r="E1246" s="94">
        <f>F1246-5</f>
        <v>459</v>
      </c>
      <c r="F1246" s="91">
        <v>464</v>
      </c>
      <c r="G1246" s="20" t="s">
        <v>838</v>
      </c>
      <c r="H1246" s="20" t="s">
        <v>59</v>
      </c>
      <c r="J1246" s="6" t="s">
        <v>838</v>
      </c>
      <c r="M1246" s="72" t="s">
        <v>244</v>
      </c>
      <c r="N1246" s="72" t="s">
        <v>53</v>
      </c>
      <c r="O1246" s="70" t="s">
        <v>1627</v>
      </c>
      <c r="Q1246" s="88"/>
      <c r="R1246" s="88"/>
    </row>
    <row r="1247" spans="1:18" x14ac:dyDescent="0.25">
      <c r="A1247" s="81"/>
      <c r="B1247" s="99"/>
      <c r="C1247" s="96"/>
      <c r="D1247" s="96"/>
      <c r="E1247" s="96"/>
      <c r="F1247" s="93"/>
      <c r="J1247" t="s">
        <v>59</v>
      </c>
      <c r="M1247" s="73"/>
      <c r="N1247" s="73"/>
      <c r="O1247" s="71"/>
      <c r="Q1247" s="90"/>
      <c r="R1247" s="90"/>
    </row>
    <row r="1248" spans="1:18" s="6" customFormat="1" x14ac:dyDescent="0.25">
      <c r="A1248" s="80">
        <f>$A$2+334</f>
        <v>335</v>
      </c>
      <c r="B1248" s="97">
        <v>28</v>
      </c>
      <c r="C1248" s="94">
        <v>9</v>
      </c>
      <c r="D1248" s="94">
        <v>1729</v>
      </c>
      <c r="E1248" s="94">
        <f>F1248-5</f>
        <v>459</v>
      </c>
      <c r="F1248" s="91">
        <v>464</v>
      </c>
      <c r="G1248" s="20" t="s">
        <v>1024</v>
      </c>
      <c r="H1248" s="20"/>
      <c r="I1248" s="6" t="s">
        <v>27</v>
      </c>
      <c r="J1248" s="6" t="s">
        <v>1024</v>
      </c>
      <c r="M1248" s="72" t="s">
        <v>1633</v>
      </c>
      <c r="N1248" s="72" t="s">
        <v>9</v>
      </c>
      <c r="O1248" s="70" t="s">
        <v>1632</v>
      </c>
      <c r="Q1248" s="88"/>
      <c r="R1248" s="88"/>
    </row>
    <row r="1249" spans="1:18" x14ac:dyDescent="0.25">
      <c r="A1249" s="87"/>
      <c r="B1249" s="98"/>
      <c r="C1249" s="95"/>
      <c r="D1249" s="95"/>
      <c r="E1249" s="95"/>
      <c r="F1249" s="92"/>
      <c r="J1249" t="s">
        <v>1457</v>
      </c>
      <c r="K1249" t="s">
        <v>1458</v>
      </c>
      <c r="M1249" s="83"/>
      <c r="N1249" s="83"/>
      <c r="O1249" s="82"/>
      <c r="Q1249" s="89"/>
      <c r="R1249" s="89"/>
    </row>
    <row r="1250" spans="1:18" x14ac:dyDescent="0.25">
      <c r="A1250" s="87"/>
      <c r="B1250" s="98"/>
      <c r="C1250" s="95"/>
      <c r="D1250" s="95"/>
      <c r="E1250" s="95"/>
      <c r="F1250" s="92"/>
      <c r="J1250" t="s">
        <v>1628</v>
      </c>
      <c r="L1250" t="s">
        <v>1629</v>
      </c>
      <c r="M1250" s="83"/>
      <c r="N1250" s="83"/>
      <c r="O1250" s="82"/>
      <c r="Q1250" s="89"/>
      <c r="R1250" s="89"/>
    </row>
    <row r="1251" spans="1:18" x14ac:dyDescent="0.25">
      <c r="A1251" s="87"/>
      <c r="B1251" s="98"/>
      <c r="C1251" s="95"/>
      <c r="D1251" s="95"/>
      <c r="E1251" s="95"/>
      <c r="F1251" s="92"/>
      <c r="J1251" t="s">
        <v>1630</v>
      </c>
      <c r="M1251" s="83"/>
      <c r="N1251" s="83"/>
      <c r="O1251" s="82"/>
      <c r="Q1251" s="89"/>
      <c r="R1251" s="89"/>
    </row>
    <row r="1252" spans="1:18" x14ac:dyDescent="0.25">
      <c r="A1252" s="87"/>
      <c r="B1252" s="98"/>
      <c r="C1252" s="95"/>
      <c r="D1252" s="95"/>
      <c r="E1252" s="95"/>
      <c r="F1252" s="92"/>
      <c r="J1252" t="s">
        <v>1527</v>
      </c>
      <c r="M1252" s="83"/>
      <c r="N1252" s="83"/>
      <c r="O1252" s="82"/>
      <c r="Q1252" s="89"/>
      <c r="R1252" s="89"/>
    </row>
    <row r="1253" spans="1:18" x14ac:dyDescent="0.25">
      <c r="A1253" s="87"/>
      <c r="B1253" s="98"/>
      <c r="C1253" s="95"/>
      <c r="D1253" s="95"/>
      <c r="E1253" s="95"/>
      <c r="F1253" s="92"/>
      <c r="J1253" t="s">
        <v>1533</v>
      </c>
      <c r="L1253" t="s">
        <v>1534</v>
      </c>
      <c r="M1253" s="83"/>
      <c r="N1253" s="83"/>
      <c r="O1253" s="82"/>
      <c r="Q1253" s="89"/>
      <c r="R1253" s="89"/>
    </row>
    <row r="1254" spans="1:18" x14ac:dyDescent="0.25">
      <c r="A1254" s="87"/>
      <c r="B1254" s="98"/>
      <c r="C1254" s="95"/>
      <c r="D1254" s="95"/>
      <c r="E1254" s="95"/>
      <c r="F1254" s="92"/>
      <c r="J1254" t="s">
        <v>908</v>
      </c>
      <c r="M1254" s="83"/>
      <c r="N1254" s="83"/>
      <c r="O1254" s="82"/>
      <c r="Q1254" s="89"/>
      <c r="R1254" s="89"/>
    </row>
    <row r="1255" spans="1:18" x14ac:dyDescent="0.25">
      <c r="A1255" s="87"/>
      <c r="B1255" s="98"/>
      <c r="C1255" s="95"/>
      <c r="D1255" s="95"/>
      <c r="E1255" s="95"/>
      <c r="F1255" s="92"/>
      <c r="J1255" t="s">
        <v>1631</v>
      </c>
      <c r="K1255" t="s">
        <v>1458</v>
      </c>
      <c r="M1255" s="83"/>
      <c r="N1255" s="83"/>
      <c r="O1255" s="82"/>
      <c r="Q1255" s="89"/>
      <c r="R1255" s="89"/>
    </row>
    <row r="1256" spans="1:18" x14ac:dyDescent="0.25">
      <c r="A1256" s="81"/>
      <c r="B1256" s="99"/>
      <c r="C1256" s="96"/>
      <c r="D1256" s="96"/>
      <c r="E1256" s="96"/>
      <c r="F1256" s="93"/>
      <c r="J1256" t="s">
        <v>1476</v>
      </c>
      <c r="M1256" s="73"/>
      <c r="N1256" s="73"/>
      <c r="O1256" s="71"/>
      <c r="Q1256" s="90"/>
      <c r="R1256" s="90"/>
    </row>
    <row r="1257" spans="1:18" s="6" customFormat="1" x14ac:dyDescent="0.25">
      <c r="A1257" s="80">
        <f>$A$2+335</f>
        <v>336</v>
      </c>
      <c r="B1257" s="97">
        <v>28</v>
      </c>
      <c r="C1257" s="94">
        <v>9</v>
      </c>
      <c r="D1257" s="94">
        <v>1729</v>
      </c>
      <c r="E1257" s="94">
        <f>F1257-5</f>
        <v>460</v>
      </c>
      <c r="F1257" s="91">
        <v>465</v>
      </c>
      <c r="G1257" s="20" t="s">
        <v>1024</v>
      </c>
      <c r="H1257" s="20" t="s">
        <v>1533</v>
      </c>
      <c r="J1257" s="6" t="s">
        <v>1024</v>
      </c>
      <c r="M1257" s="72" t="s">
        <v>1633</v>
      </c>
      <c r="N1257" s="72" t="s">
        <v>53</v>
      </c>
      <c r="O1257" s="70" t="s">
        <v>1636</v>
      </c>
      <c r="Q1257" s="88"/>
      <c r="R1257" s="88"/>
    </row>
    <row r="1258" spans="1:18" x14ac:dyDescent="0.25">
      <c r="A1258" s="87"/>
      <c r="B1258" s="98"/>
      <c r="C1258" s="95"/>
      <c r="D1258" s="95"/>
      <c r="E1258" s="95"/>
      <c r="F1258" s="92"/>
      <c r="J1258" t="s">
        <v>1533</v>
      </c>
      <c r="M1258" s="83"/>
      <c r="N1258" s="83"/>
      <c r="O1258" s="82"/>
      <c r="Q1258" s="89"/>
      <c r="R1258" s="89"/>
    </row>
    <row r="1259" spans="1:18" x14ac:dyDescent="0.25">
      <c r="A1259" s="87"/>
      <c r="B1259" s="98"/>
      <c r="C1259" s="95"/>
      <c r="D1259" s="95"/>
      <c r="E1259" s="95"/>
      <c r="F1259" s="92"/>
      <c r="J1259" t="s">
        <v>458</v>
      </c>
      <c r="K1259" t="s">
        <v>1634</v>
      </c>
      <c r="M1259" s="83"/>
      <c r="N1259" s="83"/>
      <c r="O1259" s="82"/>
      <c r="Q1259" s="89"/>
      <c r="R1259" s="89"/>
    </row>
    <row r="1260" spans="1:18" x14ac:dyDescent="0.25">
      <c r="A1260" s="81"/>
      <c r="B1260" s="99"/>
      <c r="C1260" s="96"/>
      <c r="D1260" s="96"/>
      <c r="E1260" s="96"/>
      <c r="F1260" s="93"/>
      <c r="I1260" t="s">
        <v>339</v>
      </c>
      <c r="J1260" t="s">
        <v>458</v>
      </c>
      <c r="K1260" t="s">
        <v>1635</v>
      </c>
      <c r="M1260" s="73"/>
      <c r="N1260" s="73"/>
      <c r="O1260" s="71"/>
      <c r="Q1260" s="90"/>
      <c r="R1260" s="90"/>
    </row>
    <row r="1261" spans="1:18" s="6" customFormat="1" x14ac:dyDescent="0.25">
      <c r="A1261" s="80">
        <f>$A$2+336</f>
        <v>337</v>
      </c>
      <c r="B1261" s="97">
        <v>9</v>
      </c>
      <c r="C1261" s="94">
        <v>10</v>
      </c>
      <c r="D1261" s="94">
        <v>1729</v>
      </c>
      <c r="E1261" s="94">
        <f>F1261-5</f>
        <v>460</v>
      </c>
      <c r="F1261" s="91">
        <v>465</v>
      </c>
      <c r="G1261" s="20" t="s">
        <v>36</v>
      </c>
      <c r="H1261" s="20" t="s">
        <v>123</v>
      </c>
      <c r="I1261" s="6" t="s">
        <v>27</v>
      </c>
      <c r="J1261" s="6" t="s">
        <v>36</v>
      </c>
      <c r="K1261" s="6" t="s">
        <v>1288</v>
      </c>
      <c r="M1261" s="72" t="s">
        <v>1466</v>
      </c>
      <c r="N1261" s="72" t="s">
        <v>20</v>
      </c>
      <c r="O1261" s="70" t="s">
        <v>1637</v>
      </c>
      <c r="Q1261" s="88"/>
      <c r="R1261" s="88"/>
    </row>
    <row r="1262" spans="1:18" x14ac:dyDescent="0.25">
      <c r="A1262" s="87"/>
      <c r="B1262" s="98"/>
      <c r="C1262" s="95"/>
      <c r="D1262" s="95"/>
      <c r="E1262" s="95"/>
      <c r="F1262" s="92"/>
      <c r="I1262" t="s">
        <v>27</v>
      </c>
      <c r="J1262" t="s">
        <v>123</v>
      </c>
      <c r="M1262" s="83"/>
      <c r="N1262" s="83"/>
      <c r="O1262" s="82"/>
      <c r="Q1262" s="89"/>
      <c r="R1262" s="89"/>
    </row>
    <row r="1263" spans="1:18" x14ac:dyDescent="0.25">
      <c r="A1263" s="81"/>
      <c r="B1263" s="99"/>
      <c r="C1263" s="96"/>
      <c r="D1263" s="96"/>
      <c r="E1263" s="96"/>
      <c r="F1263" s="93"/>
      <c r="J1263" t="s">
        <v>1557</v>
      </c>
      <c r="L1263" t="s">
        <v>89</v>
      </c>
      <c r="M1263" s="73"/>
      <c r="N1263" s="73"/>
      <c r="O1263" s="71"/>
      <c r="Q1263" s="90"/>
      <c r="R1263" s="90"/>
    </row>
    <row r="1264" spans="1:18" s="6" customFormat="1" x14ac:dyDescent="0.25">
      <c r="A1264" s="80">
        <f>$A$2+337</f>
        <v>338</v>
      </c>
      <c r="B1264" s="97">
        <v>9</v>
      </c>
      <c r="C1264" s="94">
        <v>10</v>
      </c>
      <c r="D1264" s="94">
        <v>1729</v>
      </c>
      <c r="E1264" s="94">
        <f>F1264-5</f>
        <v>461</v>
      </c>
      <c r="F1264" s="91">
        <v>466</v>
      </c>
      <c r="G1264" s="20" t="s">
        <v>911</v>
      </c>
      <c r="H1264" s="20" t="s">
        <v>1638</v>
      </c>
      <c r="I1264" s="6" t="s">
        <v>31</v>
      </c>
      <c r="J1264" s="6" t="s">
        <v>1638</v>
      </c>
      <c r="M1264" s="72" t="s">
        <v>13</v>
      </c>
      <c r="N1264" s="72" t="s">
        <v>20</v>
      </c>
      <c r="O1264" s="70" t="s">
        <v>1644</v>
      </c>
      <c r="Q1264" s="88"/>
      <c r="R1264" s="88" t="s">
        <v>1456</v>
      </c>
    </row>
    <row r="1265" spans="1:18" x14ac:dyDescent="0.25">
      <c r="A1265" s="87"/>
      <c r="B1265" s="98"/>
      <c r="C1265" s="95"/>
      <c r="D1265" s="95"/>
      <c r="E1265" s="95"/>
      <c r="F1265" s="92"/>
      <c r="J1265" t="s">
        <v>458</v>
      </c>
      <c r="K1265" t="s">
        <v>1640</v>
      </c>
      <c r="L1265" t="s">
        <v>1639</v>
      </c>
      <c r="M1265" s="83"/>
      <c r="N1265" s="83"/>
      <c r="O1265" s="82"/>
      <c r="P1265" t="s">
        <v>1643</v>
      </c>
      <c r="Q1265" s="89"/>
      <c r="R1265" s="89"/>
    </row>
    <row r="1266" spans="1:18" x14ac:dyDescent="0.25">
      <c r="A1266" s="81"/>
      <c r="B1266" s="99"/>
      <c r="C1266" s="96"/>
      <c r="D1266" s="96"/>
      <c r="E1266" s="96"/>
      <c r="F1266" s="93"/>
      <c r="I1266" t="s">
        <v>27</v>
      </c>
      <c r="J1266" t="s">
        <v>1641</v>
      </c>
      <c r="K1266" t="s">
        <v>1642</v>
      </c>
      <c r="M1266" s="73"/>
      <c r="N1266" s="73"/>
      <c r="O1266" s="71"/>
      <c r="Q1266" s="90"/>
      <c r="R1266" s="90"/>
    </row>
    <row r="1267" spans="1:18" s="6" customFormat="1" x14ac:dyDescent="0.25">
      <c r="A1267" s="80">
        <f>$A$2+338</f>
        <v>339</v>
      </c>
      <c r="B1267" s="97">
        <v>20</v>
      </c>
      <c r="C1267" s="94">
        <v>10</v>
      </c>
      <c r="D1267" s="94">
        <v>1729</v>
      </c>
      <c r="E1267" s="94">
        <f>F1267-5</f>
        <v>461</v>
      </c>
      <c r="F1267" s="91">
        <v>466</v>
      </c>
      <c r="G1267" s="20" t="s">
        <v>895</v>
      </c>
      <c r="H1267" s="20" t="s">
        <v>1641</v>
      </c>
      <c r="I1267" s="6" t="s">
        <v>27</v>
      </c>
      <c r="J1267" s="6" t="s">
        <v>895</v>
      </c>
      <c r="M1267" s="72" t="s">
        <v>244</v>
      </c>
      <c r="N1267" s="72" t="s">
        <v>9</v>
      </c>
      <c r="O1267" s="70" t="s">
        <v>1648</v>
      </c>
      <c r="Q1267" s="88"/>
      <c r="R1267" s="88" t="s">
        <v>1456</v>
      </c>
    </row>
    <row r="1268" spans="1:18" x14ac:dyDescent="0.25">
      <c r="A1268" s="87"/>
      <c r="B1268" s="98"/>
      <c r="C1268" s="95"/>
      <c r="D1268" s="95"/>
      <c r="E1268" s="95"/>
      <c r="F1268" s="92"/>
      <c r="I1268" t="s">
        <v>27</v>
      </c>
      <c r="J1268" t="s">
        <v>1641</v>
      </c>
      <c r="K1268" t="s">
        <v>1642</v>
      </c>
      <c r="M1268" s="83"/>
      <c r="N1268" s="83"/>
      <c r="O1268" s="82"/>
      <c r="Q1268" s="89"/>
      <c r="R1268" s="89"/>
    </row>
    <row r="1269" spans="1:18" x14ac:dyDescent="0.25">
      <c r="A1269" s="87"/>
      <c r="B1269" s="98"/>
      <c r="C1269" s="95"/>
      <c r="D1269" s="95"/>
      <c r="E1269" s="95"/>
      <c r="F1269" s="92"/>
      <c r="J1269" t="s">
        <v>331</v>
      </c>
      <c r="M1269" s="83"/>
      <c r="N1269" s="83"/>
      <c r="O1269" s="82"/>
      <c r="Q1269" s="89"/>
      <c r="R1269" s="89"/>
    </row>
    <row r="1270" spans="1:18" x14ac:dyDescent="0.25">
      <c r="A1270" s="87"/>
      <c r="B1270" s="98"/>
      <c r="C1270" s="95"/>
      <c r="D1270" s="95"/>
      <c r="E1270" s="95"/>
      <c r="F1270" s="92"/>
      <c r="J1270" t="s">
        <v>458</v>
      </c>
      <c r="K1270" t="s">
        <v>1645</v>
      </c>
      <c r="L1270" t="s">
        <v>1639</v>
      </c>
      <c r="M1270" s="83"/>
      <c r="N1270" s="83"/>
      <c r="O1270" s="82"/>
      <c r="Q1270" s="89"/>
      <c r="R1270" s="89"/>
    </row>
    <row r="1271" spans="1:18" x14ac:dyDescent="0.25">
      <c r="A1271" s="87"/>
      <c r="B1271" s="98"/>
      <c r="C1271" s="95"/>
      <c r="D1271" s="95"/>
      <c r="E1271" s="95"/>
      <c r="F1271" s="92"/>
      <c r="J1271" t="s">
        <v>1638</v>
      </c>
      <c r="L1271" t="s">
        <v>1646</v>
      </c>
      <c r="M1271" s="83"/>
      <c r="N1271" s="83"/>
      <c r="O1271" s="82"/>
      <c r="Q1271" s="89"/>
      <c r="R1271" s="89"/>
    </row>
    <row r="1272" spans="1:18" x14ac:dyDescent="0.25">
      <c r="A1272" s="87"/>
      <c r="B1272" s="98"/>
      <c r="C1272" s="95"/>
      <c r="D1272" s="95"/>
      <c r="E1272" s="95"/>
      <c r="F1272" s="92"/>
      <c r="J1272" t="s">
        <v>1647</v>
      </c>
      <c r="M1272" s="83"/>
      <c r="N1272" s="83"/>
      <c r="O1272" s="82"/>
      <c r="Q1272" s="89"/>
      <c r="R1272" s="89"/>
    </row>
    <row r="1273" spans="1:18" x14ac:dyDescent="0.25">
      <c r="A1273" s="81"/>
      <c r="B1273" s="99"/>
      <c r="C1273" s="96"/>
      <c r="D1273" s="96"/>
      <c r="E1273" s="96"/>
      <c r="F1273" s="93"/>
      <c r="I1273" t="s">
        <v>27</v>
      </c>
      <c r="J1273" t="s">
        <v>1161</v>
      </c>
      <c r="M1273" s="73"/>
      <c r="N1273" s="73"/>
      <c r="O1273" s="71"/>
      <c r="Q1273" s="90"/>
      <c r="R1273" s="90"/>
    </row>
    <row r="1274" spans="1:18" s="6" customFormat="1" x14ac:dyDescent="0.25">
      <c r="A1274" s="80">
        <f>$A$2+339</f>
        <v>340</v>
      </c>
      <c r="B1274" s="97">
        <v>20</v>
      </c>
      <c r="C1274" s="94">
        <v>10</v>
      </c>
      <c r="D1274" s="94">
        <v>1729</v>
      </c>
      <c r="E1274" s="94">
        <f>F1274-5</f>
        <v>461</v>
      </c>
      <c r="F1274" s="91">
        <v>466</v>
      </c>
      <c r="G1274" s="20" t="s">
        <v>895</v>
      </c>
      <c r="H1274" s="20" t="s">
        <v>1641</v>
      </c>
      <c r="J1274" s="6" t="s">
        <v>1641</v>
      </c>
      <c r="M1274" s="72" t="s">
        <v>1649</v>
      </c>
      <c r="N1274" s="72" t="s">
        <v>53</v>
      </c>
      <c r="O1274" s="70" t="s">
        <v>1650</v>
      </c>
      <c r="Q1274" s="100"/>
      <c r="R1274" s="100"/>
    </row>
    <row r="1275" spans="1:18" x14ac:dyDescent="0.25">
      <c r="A1275" s="87"/>
      <c r="B1275" s="98"/>
      <c r="C1275" s="95"/>
      <c r="D1275" s="95"/>
      <c r="E1275" s="95"/>
      <c r="F1275" s="92"/>
      <c r="J1275" t="s">
        <v>895</v>
      </c>
      <c r="M1275" s="83"/>
      <c r="N1275" s="83"/>
      <c r="O1275" s="82"/>
      <c r="Q1275" s="101"/>
      <c r="R1275" s="101"/>
    </row>
    <row r="1276" spans="1:18" x14ac:dyDescent="0.25">
      <c r="A1276" s="87"/>
      <c r="B1276" s="98"/>
      <c r="C1276" s="95"/>
      <c r="D1276" s="95"/>
      <c r="E1276" s="95"/>
      <c r="F1276" s="92"/>
      <c r="J1276" t="s">
        <v>1638</v>
      </c>
      <c r="L1276" t="s">
        <v>1646</v>
      </c>
      <c r="M1276" s="83"/>
      <c r="N1276" s="83"/>
      <c r="O1276" s="82"/>
      <c r="Q1276" s="101"/>
      <c r="R1276" s="101"/>
    </row>
    <row r="1277" spans="1:18" x14ac:dyDescent="0.25">
      <c r="A1277" s="81"/>
      <c r="B1277" s="99"/>
      <c r="C1277" s="96"/>
      <c r="D1277" s="96"/>
      <c r="E1277" s="96"/>
      <c r="F1277" s="93"/>
      <c r="J1277" t="s">
        <v>458</v>
      </c>
      <c r="K1277" t="s">
        <v>1645</v>
      </c>
      <c r="L1277" t="s">
        <v>1639</v>
      </c>
      <c r="M1277" s="73"/>
      <c r="N1277" s="73"/>
      <c r="O1277" s="71"/>
      <c r="Q1277" s="102"/>
      <c r="R1277" s="102"/>
    </row>
    <row r="1278" spans="1:18" s="6" customFormat="1" x14ac:dyDescent="0.25">
      <c r="A1278" s="80">
        <f>$A$2+340</f>
        <v>341</v>
      </c>
      <c r="B1278" s="97">
        <v>20</v>
      </c>
      <c r="C1278" s="94">
        <v>10</v>
      </c>
      <c r="D1278" s="94">
        <v>1729</v>
      </c>
      <c r="E1278" s="94">
        <f>F1278-5</f>
        <v>462</v>
      </c>
      <c r="F1278" s="91">
        <v>467</v>
      </c>
      <c r="G1278" s="20" t="s">
        <v>32</v>
      </c>
      <c r="H1278" s="20" t="s">
        <v>123</v>
      </c>
      <c r="I1278" s="6" t="s">
        <v>27</v>
      </c>
      <c r="J1278" s="6" t="s">
        <v>32</v>
      </c>
      <c r="M1278" s="72"/>
      <c r="N1278" s="72" t="s">
        <v>344</v>
      </c>
      <c r="O1278" s="70"/>
      <c r="Q1278" s="88"/>
      <c r="R1278" s="88"/>
    </row>
    <row r="1279" spans="1:18" x14ac:dyDescent="0.25">
      <c r="A1279" s="81"/>
      <c r="B1279" s="99"/>
      <c r="C1279" s="96"/>
      <c r="D1279" s="96"/>
      <c r="E1279" s="96"/>
      <c r="F1279" s="93"/>
      <c r="I1279" t="s">
        <v>27</v>
      </c>
      <c r="J1279" t="s">
        <v>123</v>
      </c>
      <c r="M1279" s="73"/>
      <c r="N1279" s="73"/>
      <c r="O1279" s="71"/>
      <c r="Q1279" s="90"/>
      <c r="R1279" s="90"/>
    </row>
    <row r="1280" spans="1:18" s="6" customFormat="1" x14ac:dyDescent="0.25">
      <c r="A1280" s="80">
        <f>$A$2+341</f>
        <v>342</v>
      </c>
      <c r="B1280" s="97">
        <v>26</v>
      </c>
      <c r="C1280" s="94">
        <v>11</v>
      </c>
      <c r="D1280" s="94">
        <v>1729</v>
      </c>
      <c r="E1280" s="94">
        <f>F1280-5</f>
        <v>463</v>
      </c>
      <c r="F1280" s="91">
        <v>468</v>
      </c>
      <c r="G1280" s="20" t="s">
        <v>1652</v>
      </c>
      <c r="H1280" s="20" t="s">
        <v>940</v>
      </c>
      <c r="I1280" s="6" t="s">
        <v>29</v>
      </c>
      <c r="J1280" s="6" t="s">
        <v>1652</v>
      </c>
      <c r="M1280" s="72" t="s">
        <v>159</v>
      </c>
      <c r="N1280" s="72" t="s">
        <v>20</v>
      </c>
      <c r="O1280" s="70" t="s">
        <v>1654</v>
      </c>
      <c r="Q1280" s="88"/>
      <c r="R1280" s="88"/>
    </row>
    <row r="1281" spans="1:18" x14ac:dyDescent="0.25">
      <c r="A1281" s="87"/>
      <c r="B1281" s="98"/>
      <c r="C1281" s="95"/>
      <c r="D1281" s="95"/>
      <c r="E1281" s="95"/>
      <c r="F1281" s="92"/>
      <c r="I1281" t="s">
        <v>27</v>
      </c>
      <c r="J1281" t="s">
        <v>940</v>
      </c>
      <c r="M1281" s="83"/>
      <c r="N1281" s="83"/>
      <c r="O1281" s="82"/>
      <c r="Q1281" s="89"/>
      <c r="R1281" s="89"/>
    </row>
    <row r="1282" spans="1:18" x14ac:dyDescent="0.25">
      <c r="A1282" s="87"/>
      <c r="B1282" s="98"/>
      <c r="C1282" s="95"/>
      <c r="D1282" s="95"/>
      <c r="E1282" s="95"/>
      <c r="F1282" s="92"/>
      <c r="J1282" t="s">
        <v>1651</v>
      </c>
      <c r="M1282" s="83"/>
      <c r="N1282" s="83"/>
      <c r="O1282" s="82"/>
      <c r="Q1282" s="89"/>
      <c r="R1282" s="89"/>
    </row>
    <row r="1283" spans="1:18" x14ac:dyDescent="0.25">
      <c r="A1283" s="87"/>
      <c r="B1283" s="98"/>
      <c r="C1283" s="95"/>
      <c r="D1283" s="95"/>
      <c r="E1283" s="95"/>
      <c r="F1283" s="92"/>
      <c r="J1283" t="s">
        <v>256</v>
      </c>
      <c r="M1283" s="83"/>
      <c r="N1283" s="83"/>
      <c r="O1283" s="82"/>
      <c r="Q1283" s="89"/>
      <c r="R1283" s="89"/>
    </row>
    <row r="1284" spans="1:18" x14ac:dyDescent="0.25">
      <c r="A1284" s="81"/>
      <c r="B1284" s="99"/>
      <c r="C1284" s="96"/>
      <c r="D1284" s="96"/>
      <c r="E1284" s="96"/>
      <c r="F1284" s="93"/>
      <c r="J1284" t="s">
        <v>1653</v>
      </c>
      <c r="M1284" s="73"/>
      <c r="N1284" s="73"/>
      <c r="O1284" s="71"/>
      <c r="Q1284" s="90"/>
      <c r="R1284" s="90"/>
    </row>
    <row r="1285" spans="1:18" s="6" customFormat="1" x14ac:dyDescent="0.25">
      <c r="A1285" s="80">
        <f>$A$2+342</f>
        <v>343</v>
      </c>
      <c r="B1285" s="97">
        <v>26</v>
      </c>
      <c r="C1285" s="94">
        <v>11</v>
      </c>
      <c r="D1285" s="94">
        <v>1729</v>
      </c>
      <c r="E1285" s="94">
        <f>F1285-5</f>
        <v>463</v>
      </c>
      <c r="F1285" s="91">
        <v>468</v>
      </c>
      <c r="G1285" s="20" t="s">
        <v>1652</v>
      </c>
      <c r="H1285" s="20"/>
      <c r="J1285" s="6" t="s">
        <v>1652</v>
      </c>
      <c r="M1285" s="72" t="s">
        <v>1230</v>
      </c>
      <c r="N1285" s="72" t="s">
        <v>9</v>
      </c>
      <c r="O1285" s="70" t="s">
        <v>1657</v>
      </c>
      <c r="Q1285" s="88"/>
      <c r="R1285" s="88"/>
    </row>
    <row r="1286" spans="1:18" x14ac:dyDescent="0.25">
      <c r="A1286" s="87"/>
      <c r="B1286" s="98"/>
      <c r="C1286" s="95"/>
      <c r="D1286" s="95"/>
      <c r="E1286" s="95"/>
      <c r="F1286" s="92"/>
      <c r="J1286" t="s">
        <v>940</v>
      </c>
      <c r="M1286" s="83"/>
      <c r="N1286" s="83"/>
      <c r="O1286" s="82"/>
      <c r="Q1286" s="89"/>
      <c r="R1286" s="89"/>
    </row>
    <row r="1287" spans="1:18" x14ac:dyDescent="0.25">
      <c r="A1287" s="87"/>
      <c r="B1287" s="98"/>
      <c r="C1287" s="95"/>
      <c r="D1287" s="95"/>
      <c r="E1287" s="95"/>
      <c r="F1287" s="92"/>
      <c r="J1287" t="s">
        <v>1655</v>
      </c>
      <c r="M1287" s="83"/>
      <c r="N1287" s="83"/>
      <c r="O1287" s="82"/>
      <c r="Q1287" s="89"/>
      <c r="R1287" s="89"/>
    </row>
    <row r="1288" spans="1:18" x14ac:dyDescent="0.25">
      <c r="A1288" s="81"/>
      <c r="B1288" s="99"/>
      <c r="C1288" s="96"/>
      <c r="D1288" s="96"/>
      <c r="E1288" s="96"/>
      <c r="F1288" s="93"/>
      <c r="J1288" t="s">
        <v>1656</v>
      </c>
      <c r="M1288" s="73"/>
      <c r="N1288" s="73"/>
      <c r="O1288" s="71"/>
      <c r="Q1288" s="90"/>
      <c r="R1288" s="90"/>
    </row>
    <row r="1289" spans="1:18" s="6" customFormat="1" x14ac:dyDescent="0.25">
      <c r="A1289" s="80">
        <f>$A$2+343</f>
        <v>344</v>
      </c>
      <c r="B1289" s="97">
        <v>27</v>
      </c>
      <c r="C1289" s="94">
        <v>11</v>
      </c>
      <c r="D1289" s="94">
        <v>1729</v>
      </c>
      <c r="E1289" s="94">
        <f>F1289-5</f>
        <v>463</v>
      </c>
      <c r="F1289" s="91">
        <v>468</v>
      </c>
      <c r="G1289" s="20" t="s">
        <v>1658</v>
      </c>
      <c r="H1289" s="20" t="s">
        <v>1659</v>
      </c>
      <c r="J1289" s="6" t="s">
        <v>1658</v>
      </c>
      <c r="M1289" s="72" t="s">
        <v>1112</v>
      </c>
      <c r="N1289" s="72" t="s">
        <v>53</v>
      </c>
      <c r="O1289" s="70" t="s">
        <v>1661</v>
      </c>
      <c r="Q1289" s="88"/>
      <c r="R1289" s="88"/>
    </row>
    <row r="1290" spans="1:18" x14ac:dyDescent="0.25">
      <c r="A1290" s="81"/>
      <c r="B1290" s="99"/>
      <c r="C1290" s="96"/>
      <c r="D1290" s="96"/>
      <c r="E1290" s="96"/>
      <c r="F1290" s="93"/>
      <c r="J1290" t="s">
        <v>1659</v>
      </c>
      <c r="L1290" t="s">
        <v>1660</v>
      </c>
      <c r="M1290" s="73"/>
      <c r="N1290" s="73"/>
      <c r="O1290" s="71"/>
      <c r="Q1290" s="90"/>
      <c r="R1290" s="90"/>
    </row>
    <row r="1291" spans="1:18" s="6" customFormat="1" x14ac:dyDescent="0.25">
      <c r="A1291" s="80">
        <f>$A$2+344</f>
        <v>345</v>
      </c>
      <c r="B1291" s="97">
        <v>3</v>
      </c>
      <c r="C1291" s="94">
        <v>12</v>
      </c>
      <c r="D1291" s="94">
        <v>1729</v>
      </c>
      <c r="E1291" s="94">
        <f>F1291-5</f>
        <v>464</v>
      </c>
      <c r="F1291" s="91">
        <v>469</v>
      </c>
      <c r="G1291" s="20" t="s">
        <v>1662</v>
      </c>
      <c r="H1291" s="20" t="s">
        <v>1663</v>
      </c>
      <c r="J1291" s="6" t="s">
        <v>1662</v>
      </c>
      <c r="K1291" s="6" t="s">
        <v>1667</v>
      </c>
      <c r="M1291" s="72" t="s">
        <v>244</v>
      </c>
      <c r="N1291" s="72" t="s">
        <v>53</v>
      </c>
      <c r="O1291" s="70" t="s">
        <v>1668</v>
      </c>
      <c r="Q1291" s="88"/>
      <c r="R1291" s="88"/>
    </row>
    <row r="1292" spans="1:18" x14ac:dyDescent="0.25">
      <c r="A1292" s="87"/>
      <c r="B1292" s="98"/>
      <c r="C1292" s="95"/>
      <c r="D1292" s="95"/>
      <c r="E1292" s="95"/>
      <c r="F1292" s="92"/>
      <c r="J1292" t="s">
        <v>1663</v>
      </c>
      <c r="M1292" s="83"/>
      <c r="N1292" s="83"/>
      <c r="O1292" s="82"/>
      <c r="Q1292" s="89"/>
      <c r="R1292" s="89"/>
    </row>
    <row r="1293" spans="1:18" x14ac:dyDescent="0.25">
      <c r="A1293" s="81"/>
      <c r="B1293" s="99"/>
      <c r="C1293" s="96"/>
      <c r="D1293" s="96"/>
      <c r="E1293" s="96"/>
      <c r="F1293" s="93"/>
      <c r="J1293" t="s">
        <v>1664</v>
      </c>
      <c r="K1293" t="s">
        <v>1666</v>
      </c>
      <c r="L1293" t="s">
        <v>1665</v>
      </c>
      <c r="M1293" s="73"/>
      <c r="N1293" s="73"/>
      <c r="O1293" s="71"/>
      <c r="Q1293" s="90"/>
      <c r="R1293" s="90"/>
    </row>
    <row r="1294" spans="1:18" s="6" customFormat="1" ht="15" customHeight="1" x14ac:dyDescent="0.25">
      <c r="A1294" s="80">
        <f>$A$2+345</f>
        <v>346</v>
      </c>
      <c r="B1294" s="97">
        <v>30</v>
      </c>
      <c r="C1294" s="94">
        <v>12</v>
      </c>
      <c r="D1294" s="94">
        <v>1729</v>
      </c>
      <c r="E1294" s="94">
        <f>F1294-5</f>
        <v>464</v>
      </c>
      <c r="F1294" s="91">
        <v>469</v>
      </c>
      <c r="G1294" s="20"/>
      <c r="H1294" s="20"/>
      <c r="I1294" s="6" t="s">
        <v>27</v>
      </c>
      <c r="J1294" s="6" t="s">
        <v>1669</v>
      </c>
      <c r="L1294" s="6" t="s">
        <v>981</v>
      </c>
      <c r="M1294" s="72" t="s">
        <v>594</v>
      </c>
      <c r="N1294" s="72" t="s">
        <v>600</v>
      </c>
      <c r="O1294" s="70"/>
      <c r="P1294" s="6" t="s">
        <v>1674</v>
      </c>
      <c r="Q1294" s="88"/>
      <c r="R1294" s="88"/>
    </row>
    <row r="1295" spans="1:18" x14ac:dyDescent="0.25">
      <c r="A1295" s="87"/>
      <c r="B1295" s="98"/>
      <c r="C1295" s="95"/>
      <c r="D1295" s="95"/>
      <c r="E1295" s="95"/>
      <c r="F1295" s="92"/>
      <c r="I1295" t="s">
        <v>103</v>
      </c>
      <c r="J1295" t="s">
        <v>643</v>
      </c>
      <c r="K1295" t="s">
        <v>1670</v>
      </c>
      <c r="M1295" s="83"/>
      <c r="N1295" s="83"/>
      <c r="O1295" s="82"/>
      <c r="Q1295" s="89"/>
      <c r="R1295" s="89"/>
    </row>
    <row r="1296" spans="1:18" x14ac:dyDescent="0.25">
      <c r="A1296" s="87"/>
      <c r="B1296" s="98"/>
      <c r="C1296" s="95"/>
      <c r="D1296" s="95"/>
      <c r="E1296" s="95"/>
      <c r="F1296" s="92"/>
      <c r="I1296" t="s">
        <v>103</v>
      </c>
      <c r="J1296" t="s">
        <v>1671</v>
      </c>
      <c r="K1296" t="s">
        <v>1081</v>
      </c>
      <c r="M1296" s="83"/>
      <c r="N1296" s="83"/>
      <c r="O1296" s="82"/>
      <c r="Q1296" s="89"/>
      <c r="R1296" s="89"/>
    </row>
    <row r="1297" spans="1:18" x14ac:dyDescent="0.25">
      <c r="A1297" s="87"/>
      <c r="B1297" s="98"/>
      <c r="C1297" s="95"/>
      <c r="D1297" s="95"/>
      <c r="E1297" s="95"/>
      <c r="F1297" s="92"/>
      <c r="I1297" t="s">
        <v>103</v>
      </c>
      <c r="J1297" t="s">
        <v>1672</v>
      </c>
      <c r="K1297" t="s">
        <v>1118</v>
      </c>
      <c r="M1297" s="83"/>
      <c r="N1297" s="83"/>
      <c r="O1297" s="82"/>
      <c r="Q1297" s="89"/>
      <c r="R1297" s="89"/>
    </row>
    <row r="1298" spans="1:18" x14ac:dyDescent="0.25">
      <c r="A1298" s="87"/>
      <c r="B1298" s="98"/>
      <c r="C1298" s="95"/>
      <c r="D1298" s="95"/>
      <c r="E1298" s="95"/>
      <c r="F1298" s="92"/>
      <c r="I1298" t="s">
        <v>103</v>
      </c>
      <c r="J1298" t="s">
        <v>1673</v>
      </c>
      <c r="K1298" t="s">
        <v>1118</v>
      </c>
      <c r="M1298" s="83"/>
      <c r="N1298" s="83"/>
      <c r="O1298" s="82"/>
      <c r="Q1298" s="89"/>
      <c r="R1298" s="89"/>
    </row>
    <row r="1299" spans="1:18" x14ac:dyDescent="0.25">
      <c r="A1299" s="81"/>
      <c r="B1299" s="99"/>
      <c r="C1299" s="96"/>
      <c r="D1299" s="96"/>
      <c r="E1299" s="96"/>
      <c r="F1299" s="93"/>
      <c r="I1299" t="s">
        <v>103</v>
      </c>
      <c r="J1299" t="s">
        <v>773</v>
      </c>
      <c r="K1299" t="s">
        <v>1118</v>
      </c>
      <c r="M1299" s="73"/>
      <c r="N1299" s="73"/>
      <c r="O1299" s="71"/>
      <c r="Q1299" s="90"/>
      <c r="R1299" s="90"/>
    </row>
    <row r="1300" spans="1:18" s="6" customFormat="1" x14ac:dyDescent="0.25">
      <c r="A1300" s="80">
        <f>$A$2+346</f>
        <v>347</v>
      </c>
      <c r="B1300" s="97">
        <v>13</v>
      </c>
      <c r="C1300" s="94">
        <v>1</v>
      </c>
      <c r="D1300" s="94">
        <v>1730</v>
      </c>
      <c r="E1300" s="94">
        <f>F1300-5</f>
        <v>465</v>
      </c>
      <c r="F1300" s="91">
        <v>470</v>
      </c>
      <c r="G1300" s="20" t="s">
        <v>1444</v>
      </c>
      <c r="H1300" s="20" t="s">
        <v>626</v>
      </c>
      <c r="I1300" s="6" t="s">
        <v>27</v>
      </c>
      <c r="J1300" s="6" t="s">
        <v>1444</v>
      </c>
      <c r="M1300" s="72" t="s">
        <v>1682</v>
      </c>
      <c r="N1300" s="72" t="s">
        <v>9</v>
      </c>
      <c r="O1300" s="70" t="s">
        <v>1681</v>
      </c>
      <c r="Q1300" s="88" t="s">
        <v>1456</v>
      </c>
      <c r="R1300" s="88"/>
    </row>
    <row r="1301" spans="1:18" x14ac:dyDescent="0.25">
      <c r="A1301" s="87"/>
      <c r="B1301" s="98"/>
      <c r="C1301" s="95"/>
      <c r="D1301" s="95"/>
      <c r="E1301" s="95"/>
      <c r="F1301" s="92"/>
      <c r="J1301" t="s">
        <v>626</v>
      </c>
      <c r="M1301" s="83"/>
      <c r="N1301" s="83"/>
      <c r="O1301" s="82"/>
      <c r="P1301" t="s">
        <v>1680</v>
      </c>
      <c r="Q1301" s="89"/>
      <c r="R1301" s="89"/>
    </row>
    <row r="1302" spans="1:18" x14ac:dyDescent="0.25">
      <c r="A1302" s="87"/>
      <c r="B1302" s="98"/>
      <c r="C1302" s="95"/>
      <c r="D1302" s="95"/>
      <c r="E1302" s="95"/>
      <c r="F1302" s="92"/>
      <c r="I1302" t="s">
        <v>27</v>
      </c>
      <c r="J1302" t="s">
        <v>1669</v>
      </c>
      <c r="K1302" t="s">
        <v>1675</v>
      </c>
      <c r="M1302" s="83"/>
      <c r="N1302" s="83"/>
      <c r="O1302" s="82"/>
      <c r="Q1302" s="89"/>
      <c r="R1302" s="89"/>
    </row>
    <row r="1303" spans="1:18" x14ac:dyDescent="0.25">
      <c r="A1303" s="87"/>
      <c r="B1303" s="98"/>
      <c r="C1303" s="95"/>
      <c r="D1303" s="95"/>
      <c r="E1303" s="95"/>
      <c r="F1303" s="92"/>
      <c r="I1303" t="s">
        <v>27</v>
      </c>
      <c r="J1303" t="s">
        <v>1676</v>
      </c>
      <c r="M1303" s="83"/>
      <c r="N1303" s="83"/>
      <c r="O1303" s="82"/>
      <c r="Q1303" s="89"/>
      <c r="R1303" s="89"/>
    </row>
    <row r="1304" spans="1:18" x14ac:dyDescent="0.25">
      <c r="A1304" s="87"/>
      <c r="B1304" s="98"/>
      <c r="C1304" s="95"/>
      <c r="D1304" s="95"/>
      <c r="E1304" s="95"/>
      <c r="F1304" s="92"/>
      <c r="J1304" t="s">
        <v>1677</v>
      </c>
      <c r="M1304" s="83"/>
      <c r="N1304" s="83"/>
      <c r="O1304" s="82"/>
      <c r="Q1304" s="89"/>
      <c r="R1304" s="89"/>
    </row>
    <row r="1305" spans="1:18" x14ac:dyDescent="0.25">
      <c r="A1305" s="87"/>
      <c r="B1305" s="98"/>
      <c r="C1305" s="95"/>
      <c r="D1305" s="95"/>
      <c r="E1305" s="95"/>
      <c r="F1305" s="92"/>
      <c r="J1305" t="s">
        <v>458</v>
      </c>
      <c r="K1305" t="s">
        <v>708</v>
      </c>
      <c r="M1305" s="83"/>
      <c r="N1305" s="83"/>
      <c r="O1305" s="82"/>
      <c r="Q1305" s="89"/>
      <c r="R1305" s="89"/>
    </row>
    <row r="1306" spans="1:18" x14ac:dyDescent="0.25">
      <c r="A1306" s="87"/>
      <c r="B1306" s="98"/>
      <c r="C1306" s="95"/>
      <c r="D1306" s="95"/>
      <c r="E1306" s="95"/>
      <c r="F1306" s="92"/>
      <c r="J1306" t="s">
        <v>621</v>
      </c>
      <c r="L1306" t="s">
        <v>1678</v>
      </c>
      <c r="M1306" s="83"/>
      <c r="N1306" s="83"/>
      <c r="O1306" s="82"/>
      <c r="Q1306" s="89"/>
      <c r="R1306" s="89"/>
    </row>
    <row r="1307" spans="1:18" x14ac:dyDescent="0.25">
      <c r="A1307" s="81"/>
      <c r="B1307" s="99"/>
      <c r="C1307" s="96"/>
      <c r="D1307" s="96"/>
      <c r="E1307" s="96"/>
      <c r="F1307" s="93"/>
      <c r="J1307" t="s">
        <v>1679</v>
      </c>
      <c r="M1307" s="73"/>
      <c r="N1307" s="73"/>
      <c r="O1307" s="71"/>
      <c r="Q1307" s="90"/>
      <c r="R1307" s="90"/>
    </row>
    <row r="1308" spans="1:18" s="6" customFormat="1" x14ac:dyDescent="0.25">
      <c r="A1308" s="80">
        <f>$A$2+347</f>
        <v>348</v>
      </c>
      <c r="B1308" s="97">
        <v>13</v>
      </c>
      <c r="C1308" s="94">
        <v>1</v>
      </c>
      <c r="D1308" s="94">
        <v>1730</v>
      </c>
      <c r="E1308" s="94">
        <f>F1308-5</f>
        <v>466</v>
      </c>
      <c r="F1308" s="91">
        <v>471</v>
      </c>
      <c r="G1308" s="20" t="s">
        <v>1444</v>
      </c>
      <c r="H1308" s="20" t="s">
        <v>626</v>
      </c>
      <c r="J1308" s="6" t="s">
        <v>626</v>
      </c>
      <c r="M1308" s="72" t="s">
        <v>1383</v>
      </c>
      <c r="N1308" s="72" t="s">
        <v>84</v>
      </c>
      <c r="O1308" s="70"/>
      <c r="Q1308" s="88"/>
      <c r="R1308" s="88"/>
    </row>
    <row r="1309" spans="1:18" x14ac:dyDescent="0.25">
      <c r="A1309" s="81"/>
      <c r="B1309" s="99"/>
      <c r="C1309" s="96"/>
      <c r="D1309" s="96"/>
      <c r="E1309" s="96"/>
      <c r="F1309" s="93"/>
      <c r="J1309" t="s">
        <v>1444</v>
      </c>
      <c r="M1309" s="73"/>
      <c r="N1309" s="73"/>
      <c r="O1309" s="71"/>
      <c r="Q1309" s="90"/>
      <c r="R1309" s="90"/>
    </row>
    <row r="1310" spans="1:18" s="6" customFormat="1" x14ac:dyDescent="0.25">
      <c r="A1310" s="80">
        <f>$A$2+348</f>
        <v>349</v>
      </c>
      <c r="B1310" s="97">
        <v>25</v>
      </c>
      <c r="C1310" s="94">
        <v>1</v>
      </c>
      <c r="D1310" s="94">
        <v>1730</v>
      </c>
      <c r="E1310" s="94">
        <f>F1310-5</f>
        <v>466</v>
      </c>
      <c r="F1310" s="91">
        <v>471</v>
      </c>
      <c r="G1310" s="20" t="s">
        <v>1689</v>
      </c>
      <c r="H1310" s="20" t="s">
        <v>256</v>
      </c>
      <c r="I1310" s="6" t="s">
        <v>27</v>
      </c>
      <c r="J1310" s="6" t="s">
        <v>1689</v>
      </c>
      <c r="M1310" s="72" t="s">
        <v>1688</v>
      </c>
      <c r="N1310" s="72" t="s">
        <v>9</v>
      </c>
      <c r="O1310" s="70" t="s">
        <v>1690</v>
      </c>
      <c r="Q1310" s="88"/>
      <c r="R1310" s="88" t="s">
        <v>1456</v>
      </c>
    </row>
    <row r="1311" spans="1:18" x14ac:dyDescent="0.25">
      <c r="A1311" s="87"/>
      <c r="B1311" s="98"/>
      <c r="C1311" s="95"/>
      <c r="D1311" s="95"/>
      <c r="E1311" s="95"/>
      <c r="F1311" s="92"/>
      <c r="I1311" t="s">
        <v>27</v>
      </c>
      <c r="J1311" t="s">
        <v>256</v>
      </c>
      <c r="M1311" s="83"/>
      <c r="N1311" s="83"/>
      <c r="O1311" s="82"/>
      <c r="Q1311" s="89"/>
      <c r="R1311" s="89"/>
    </row>
    <row r="1312" spans="1:18" x14ac:dyDescent="0.25">
      <c r="A1312" s="87"/>
      <c r="B1312" s="98"/>
      <c r="C1312" s="95"/>
      <c r="D1312" s="95"/>
      <c r="E1312" s="95"/>
      <c r="F1312" s="92"/>
      <c r="I1312" t="s">
        <v>31</v>
      </c>
      <c r="J1312" t="s">
        <v>1683</v>
      </c>
      <c r="M1312" s="83"/>
      <c r="N1312" s="83"/>
      <c r="O1312" s="82"/>
      <c r="Q1312" s="89"/>
      <c r="R1312" s="89"/>
    </row>
    <row r="1313" spans="1:18" x14ac:dyDescent="0.25">
      <c r="A1313" s="87"/>
      <c r="B1313" s="98"/>
      <c r="C1313" s="95"/>
      <c r="D1313" s="95"/>
      <c r="E1313" s="95"/>
      <c r="F1313" s="92"/>
      <c r="J1313" t="s">
        <v>1684</v>
      </c>
      <c r="L1313" t="s">
        <v>1687</v>
      </c>
      <c r="M1313" s="83"/>
      <c r="N1313" s="83"/>
      <c r="O1313" s="82"/>
      <c r="Q1313" s="89"/>
      <c r="R1313" s="89"/>
    </row>
    <row r="1314" spans="1:18" x14ac:dyDescent="0.25">
      <c r="A1314" s="81"/>
      <c r="B1314" s="99"/>
      <c r="C1314" s="96"/>
      <c r="D1314" s="96"/>
      <c r="E1314" s="96"/>
      <c r="F1314" s="93"/>
      <c r="J1314" t="s">
        <v>1685</v>
      </c>
      <c r="L1314" t="s">
        <v>1686</v>
      </c>
      <c r="M1314" s="73"/>
      <c r="N1314" s="73"/>
      <c r="O1314" s="71"/>
      <c r="Q1314" s="90"/>
      <c r="R1314" s="90"/>
    </row>
    <row r="1315" spans="1:18" s="6" customFormat="1" x14ac:dyDescent="0.25">
      <c r="A1315" s="80">
        <f>$A$2+349</f>
        <v>350</v>
      </c>
      <c r="B1315" s="97">
        <v>25</v>
      </c>
      <c r="C1315" s="94">
        <v>1</v>
      </c>
      <c r="D1315" s="94">
        <v>1730</v>
      </c>
      <c r="E1315" s="94">
        <f>F1315-5</f>
        <v>466</v>
      </c>
      <c r="F1315" s="91">
        <v>471</v>
      </c>
      <c r="G1315" s="22" t="s">
        <v>1689</v>
      </c>
      <c r="H1315" s="22" t="s">
        <v>256</v>
      </c>
      <c r="J1315" s="6" t="s">
        <v>281</v>
      </c>
      <c r="M1315" s="72" t="s">
        <v>1688</v>
      </c>
      <c r="N1315" s="72" t="s">
        <v>53</v>
      </c>
      <c r="O1315" s="70" t="s">
        <v>1692</v>
      </c>
      <c r="Q1315" s="88"/>
      <c r="R1315" s="88"/>
    </row>
    <row r="1316" spans="1:18" x14ac:dyDescent="0.25">
      <c r="A1316" s="87"/>
      <c r="B1316" s="98"/>
      <c r="C1316" s="95"/>
      <c r="D1316" s="95"/>
      <c r="E1316" s="95"/>
      <c r="F1316" s="92"/>
      <c r="G1316" s="46"/>
      <c r="H1316" s="46"/>
      <c r="J1316" t="s">
        <v>1197</v>
      </c>
      <c r="M1316" s="83"/>
      <c r="N1316" s="83"/>
      <c r="O1316" s="82"/>
      <c r="Q1316" s="89"/>
      <c r="R1316" s="89"/>
    </row>
    <row r="1317" spans="1:18" x14ac:dyDescent="0.25">
      <c r="A1317" s="81"/>
      <c r="B1317" s="99"/>
      <c r="C1317" s="96"/>
      <c r="D1317" s="96"/>
      <c r="E1317" s="96"/>
      <c r="F1317" s="93"/>
      <c r="G1317" s="47"/>
      <c r="H1317" s="47"/>
      <c r="J1317" t="s">
        <v>458</v>
      </c>
      <c r="L1317" t="s">
        <v>1691</v>
      </c>
      <c r="M1317" s="83"/>
      <c r="N1317" s="73"/>
      <c r="O1317" s="71"/>
      <c r="Q1317" s="90"/>
      <c r="R1317" s="90"/>
    </row>
    <row r="1318" spans="1:18" s="6" customFormat="1" x14ac:dyDescent="0.25">
      <c r="A1318" s="80">
        <f>$A$2+350</f>
        <v>351</v>
      </c>
      <c r="B1318" s="97">
        <v>27</v>
      </c>
      <c r="C1318" s="94">
        <v>1</v>
      </c>
      <c r="D1318" s="94">
        <v>1730</v>
      </c>
      <c r="E1318" s="94">
        <f>F1318-5</f>
        <v>467</v>
      </c>
      <c r="F1318" s="91">
        <v>472</v>
      </c>
      <c r="G1318" s="20" t="s">
        <v>1693</v>
      </c>
      <c r="H1318" s="20" t="s">
        <v>326</v>
      </c>
      <c r="I1318" s="6" t="s">
        <v>27</v>
      </c>
      <c r="J1318" s="6" t="s">
        <v>1693</v>
      </c>
      <c r="M1318" s="72" t="s">
        <v>1694</v>
      </c>
      <c r="N1318" s="72" t="s">
        <v>20</v>
      </c>
      <c r="O1318" s="70" t="s">
        <v>1695</v>
      </c>
      <c r="Q1318" s="88"/>
      <c r="R1318" s="88"/>
    </row>
    <row r="1319" spans="1:18" x14ac:dyDescent="0.25">
      <c r="A1319" s="81"/>
      <c r="B1319" s="99"/>
      <c r="C1319" s="96"/>
      <c r="D1319" s="96"/>
      <c r="E1319" s="96"/>
      <c r="F1319" s="93"/>
      <c r="I1319" t="s">
        <v>27</v>
      </c>
      <c r="J1319" t="s">
        <v>326</v>
      </c>
      <c r="M1319" s="73"/>
      <c r="N1319" s="73"/>
      <c r="O1319" s="71"/>
      <c r="Q1319" s="90"/>
      <c r="R1319" s="90"/>
    </row>
    <row r="1320" spans="1:18" s="6" customFormat="1" x14ac:dyDescent="0.25">
      <c r="A1320" s="80">
        <f>$A$2+351</f>
        <v>352</v>
      </c>
      <c r="B1320" s="97">
        <v>27</v>
      </c>
      <c r="C1320" s="94">
        <v>1</v>
      </c>
      <c r="D1320" s="94">
        <v>1730</v>
      </c>
      <c r="E1320" s="94">
        <f>F1320-5</f>
        <v>467</v>
      </c>
      <c r="F1320" s="91">
        <v>472</v>
      </c>
      <c r="G1320" s="20" t="s">
        <v>1696</v>
      </c>
      <c r="H1320" s="20" t="s">
        <v>1126</v>
      </c>
      <c r="I1320" s="6" t="s">
        <v>27</v>
      </c>
      <c r="J1320" s="6" t="s">
        <v>1126</v>
      </c>
      <c r="M1320" s="72"/>
      <c r="N1320" s="72" t="s">
        <v>344</v>
      </c>
      <c r="O1320" s="70"/>
      <c r="Q1320" s="88"/>
      <c r="R1320" s="88"/>
    </row>
    <row r="1321" spans="1:18" x14ac:dyDescent="0.25">
      <c r="A1321" s="81"/>
      <c r="B1321" s="99"/>
      <c r="C1321" s="96"/>
      <c r="D1321" s="96"/>
      <c r="E1321" s="96"/>
      <c r="F1321" s="93"/>
      <c r="I1321" t="s">
        <v>339</v>
      </c>
      <c r="J1321" t="s">
        <v>1696</v>
      </c>
      <c r="M1321" s="73"/>
      <c r="N1321" s="73"/>
      <c r="O1321" s="71"/>
      <c r="Q1321" s="90"/>
      <c r="R1321" s="90"/>
    </row>
    <row r="1322" spans="1:18" s="6" customFormat="1" x14ac:dyDescent="0.25">
      <c r="A1322" s="80">
        <f>$A$2+352</f>
        <v>353</v>
      </c>
      <c r="B1322" s="97">
        <v>27</v>
      </c>
      <c r="C1322" s="94">
        <v>1</v>
      </c>
      <c r="D1322" s="94">
        <v>1730</v>
      </c>
      <c r="E1322" s="94">
        <f>F1322-5</f>
        <v>467</v>
      </c>
      <c r="F1322" s="91">
        <v>472</v>
      </c>
      <c r="G1322" s="20" t="s">
        <v>1697</v>
      </c>
      <c r="H1322" s="20" t="s">
        <v>1698</v>
      </c>
      <c r="I1322" s="6" t="s">
        <v>27</v>
      </c>
      <c r="J1322" s="6" t="s">
        <v>1693</v>
      </c>
      <c r="M1322" s="72"/>
      <c r="N1322" s="72" t="s">
        <v>344</v>
      </c>
      <c r="O1322" s="70"/>
      <c r="Q1322" s="88"/>
      <c r="R1322" s="88"/>
    </row>
    <row r="1323" spans="1:18" x14ac:dyDescent="0.25">
      <c r="A1323" s="81"/>
      <c r="B1323" s="99"/>
      <c r="C1323" s="96"/>
      <c r="D1323" s="96"/>
      <c r="E1323" s="96"/>
      <c r="F1323" s="93"/>
      <c r="I1323" t="s">
        <v>27</v>
      </c>
      <c r="J1323" t="s">
        <v>326</v>
      </c>
      <c r="M1323" s="73"/>
      <c r="N1323" s="73"/>
      <c r="O1323" s="71"/>
      <c r="Q1323" s="90"/>
      <c r="R1323" s="90"/>
    </row>
    <row r="1324" spans="1:18" s="6" customFormat="1" x14ac:dyDescent="0.25">
      <c r="A1324" s="80">
        <f>$A$2+353</f>
        <v>354</v>
      </c>
      <c r="B1324" s="97">
        <v>30</v>
      </c>
      <c r="C1324" s="94">
        <v>1</v>
      </c>
      <c r="D1324" s="94">
        <v>1730</v>
      </c>
      <c r="E1324" s="94">
        <f>F1324-5</f>
        <v>467</v>
      </c>
      <c r="F1324" s="91">
        <v>472</v>
      </c>
      <c r="G1324" s="20"/>
      <c r="H1324" s="20"/>
      <c r="I1324" s="6" t="s">
        <v>1131</v>
      </c>
      <c r="J1324" s="6" t="s">
        <v>813</v>
      </c>
      <c r="K1324" s="6" t="s">
        <v>1700</v>
      </c>
      <c r="L1324" s="6" t="s">
        <v>187</v>
      </c>
      <c r="M1324" s="72" t="s">
        <v>1699</v>
      </c>
      <c r="N1324" s="72" t="s">
        <v>811</v>
      </c>
      <c r="O1324" s="70" t="s">
        <v>1705</v>
      </c>
      <c r="P1324" s="6" t="s">
        <v>1704</v>
      </c>
      <c r="Q1324" s="100"/>
      <c r="R1324" s="100"/>
    </row>
    <row r="1325" spans="1:18" x14ac:dyDescent="0.25">
      <c r="A1325" s="87"/>
      <c r="B1325" s="98"/>
      <c r="C1325" s="95"/>
      <c r="D1325" s="95"/>
      <c r="E1325" s="95"/>
      <c r="F1325" s="92"/>
      <c r="I1325" t="s">
        <v>103</v>
      </c>
      <c r="J1325" t="s">
        <v>1701</v>
      </c>
      <c r="K1325" t="s">
        <v>815</v>
      </c>
      <c r="L1325" t="s">
        <v>1702</v>
      </c>
      <c r="M1325" s="83"/>
      <c r="N1325" s="83"/>
      <c r="O1325" s="82"/>
      <c r="Q1325" s="101"/>
      <c r="R1325" s="101"/>
    </row>
    <row r="1326" spans="1:18" x14ac:dyDescent="0.25">
      <c r="A1326" s="87"/>
      <c r="B1326" s="98"/>
      <c r="C1326" s="95"/>
      <c r="D1326" s="95"/>
      <c r="E1326" s="95"/>
      <c r="F1326" s="92"/>
      <c r="I1326" t="s">
        <v>103</v>
      </c>
      <c r="J1326" t="s">
        <v>761</v>
      </c>
      <c r="K1326" t="s">
        <v>815</v>
      </c>
      <c r="L1326" t="s">
        <v>1702</v>
      </c>
      <c r="M1326" s="83"/>
      <c r="N1326" s="83"/>
      <c r="O1326" s="82"/>
      <c r="Q1326" s="101"/>
      <c r="R1326" s="101"/>
    </row>
    <row r="1327" spans="1:18" x14ac:dyDescent="0.25">
      <c r="A1327" s="87"/>
      <c r="B1327" s="98"/>
      <c r="C1327" s="95"/>
      <c r="D1327" s="95"/>
      <c r="E1327" s="95"/>
      <c r="F1327" s="92"/>
      <c r="I1327" t="s">
        <v>103</v>
      </c>
      <c r="J1327" t="s">
        <v>1142</v>
      </c>
      <c r="K1327" t="s">
        <v>815</v>
      </c>
      <c r="L1327" t="s">
        <v>1703</v>
      </c>
      <c r="M1327" s="83"/>
      <c r="N1327" s="83"/>
      <c r="O1327" s="82"/>
      <c r="Q1327" s="101"/>
      <c r="R1327" s="101"/>
    </row>
    <row r="1328" spans="1:18" x14ac:dyDescent="0.25">
      <c r="A1328" s="81"/>
      <c r="B1328" s="99"/>
      <c r="C1328" s="96"/>
      <c r="D1328" s="96"/>
      <c r="E1328" s="96"/>
      <c r="F1328" s="93"/>
      <c r="I1328" t="s">
        <v>103</v>
      </c>
      <c r="J1328" t="s">
        <v>926</v>
      </c>
      <c r="K1328" t="s">
        <v>815</v>
      </c>
      <c r="L1328" t="s">
        <v>1703</v>
      </c>
      <c r="M1328" s="73"/>
      <c r="N1328" s="73"/>
      <c r="O1328" s="71"/>
      <c r="Q1328" s="102"/>
      <c r="R1328" s="102"/>
    </row>
    <row r="1329" spans="1:18" s="6" customFormat="1" x14ac:dyDescent="0.25">
      <c r="A1329" s="80">
        <f>$A$2+354</f>
        <v>355</v>
      </c>
      <c r="B1329" s="97">
        <v>8</v>
      </c>
      <c r="C1329" s="94">
        <v>2</v>
      </c>
      <c r="D1329" s="94">
        <v>1730</v>
      </c>
      <c r="E1329" s="94">
        <f>F1329-5</f>
        <v>468</v>
      </c>
      <c r="F1329" s="91">
        <v>473</v>
      </c>
      <c r="G1329" s="20"/>
      <c r="H1329" s="20"/>
      <c r="I1329" s="6" t="s">
        <v>27</v>
      </c>
      <c r="J1329" s="6" t="s">
        <v>93</v>
      </c>
      <c r="K1329" s="6" t="s">
        <v>1706</v>
      </c>
      <c r="L1329" s="6" t="s">
        <v>1707</v>
      </c>
      <c r="M1329" s="72" t="s">
        <v>523</v>
      </c>
      <c r="N1329" s="72" t="s">
        <v>821</v>
      </c>
      <c r="O1329" s="70"/>
      <c r="Q1329" s="88"/>
      <c r="R1329" s="88"/>
    </row>
    <row r="1330" spans="1:18" x14ac:dyDescent="0.25">
      <c r="A1330" s="87"/>
      <c r="B1330" s="98"/>
      <c r="C1330" s="95"/>
      <c r="D1330" s="95"/>
      <c r="E1330" s="95"/>
      <c r="F1330" s="92"/>
      <c r="I1330" t="s">
        <v>27</v>
      </c>
      <c r="J1330" t="s">
        <v>844</v>
      </c>
      <c r="K1330" t="s">
        <v>822</v>
      </c>
      <c r="M1330" s="83"/>
      <c r="N1330" s="83"/>
      <c r="O1330" s="82"/>
      <c r="Q1330" s="89"/>
      <c r="R1330" s="89"/>
    </row>
    <row r="1331" spans="1:18" x14ac:dyDescent="0.25">
      <c r="A1331" s="87"/>
      <c r="B1331" s="98"/>
      <c r="C1331" s="95"/>
      <c r="D1331" s="95"/>
      <c r="E1331" s="95"/>
      <c r="F1331" s="92"/>
      <c r="I1331" t="s">
        <v>27</v>
      </c>
      <c r="J1331" t="s">
        <v>703</v>
      </c>
      <c r="K1331" t="s">
        <v>823</v>
      </c>
      <c r="M1331" s="83"/>
      <c r="N1331" s="83"/>
      <c r="O1331" s="82"/>
      <c r="Q1331" s="89"/>
      <c r="R1331" s="89"/>
    </row>
    <row r="1332" spans="1:18" x14ac:dyDescent="0.25">
      <c r="A1332" s="87"/>
      <c r="B1332" s="98"/>
      <c r="C1332" s="95"/>
      <c r="D1332" s="95"/>
      <c r="E1332" s="95"/>
      <c r="F1332" s="92"/>
      <c r="I1332" t="s">
        <v>27</v>
      </c>
      <c r="J1332" t="s">
        <v>860</v>
      </c>
      <c r="L1332" t="s">
        <v>949</v>
      </c>
      <c r="M1332" s="83"/>
      <c r="N1332" s="83"/>
      <c r="O1332" s="82"/>
      <c r="Q1332" s="89"/>
      <c r="R1332" s="89"/>
    </row>
    <row r="1333" spans="1:18" x14ac:dyDescent="0.25">
      <c r="A1333" s="87"/>
      <c r="B1333" s="98"/>
      <c r="C1333" s="95"/>
      <c r="D1333" s="95"/>
      <c r="E1333" s="95"/>
      <c r="F1333" s="92"/>
      <c r="I1333" t="s">
        <v>27</v>
      </c>
      <c r="J1333" t="s">
        <v>857</v>
      </c>
      <c r="K1333" t="s">
        <v>828</v>
      </c>
      <c r="M1333" s="83"/>
      <c r="N1333" s="83"/>
      <c r="O1333" s="82"/>
      <c r="Q1333" s="89"/>
      <c r="R1333" s="89"/>
    </row>
    <row r="1334" spans="1:18" x14ac:dyDescent="0.25">
      <c r="A1334" s="87"/>
      <c r="B1334" s="98"/>
      <c r="C1334" s="95"/>
      <c r="D1334" s="95"/>
      <c r="E1334" s="95"/>
      <c r="F1334" s="92"/>
      <c r="I1334" t="s">
        <v>27</v>
      </c>
      <c r="J1334" t="s">
        <v>836</v>
      </c>
      <c r="K1334" t="s">
        <v>1708</v>
      </c>
      <c r="M1334" s="83"/>
      <c r="N1334" s="83"/>
      <c r="O1334" s="82"/>
      <c r="Q1334" s="89"/>
      <c r="R1334" s="89"/>
    </row>
    <row r="1335" spans="1:18" x14ac:dyDescent="0.25">
      <c r="A1335" s="87"/>
      <c r="B1335" s="98"/>
      <c r="C1335" s="95"/>
      <c r="D1335" s="95"/>
      <c r="E1335" s="95"/>
      <c r="F1335" s="92"/>
      <c r="I1335" t="s">
        <v>27</v>
      </c>
      <c r="J1335" t="s">
        <v>1676</v>
      </c>
      <c r="K1335" t="s">
        <v>1709</v>
      </c>
      <c r="L1335" t="s">
        <v>949</v>
      </c>
      <c r="M1335" s="83"/>
      <c r="N1335" s="83"/>
      <c r="O1335" s="82"/>
      <c r="Q1335" s="89"/>
      <c r="R1335" s="89"/>
    </row>
    <row r="1336" spans="1:18" x14ac:dyDescent="0.25">
      <c r="A1336" s="87"/>
      <c r="B1336" s="98"/>
      <c r="C1336" s="95"/>
      <c r="D1336" s="95"/>
      <c r="E1336" s="95"/>
      <c r="F1336" s="92"/>
      <c r="I1336" t="s">
        <v>27</v>
      </c>
      <c r="J1336" t="s">
        <v>513</v>
      </c>
      <c r="K1336" t="s">
        <v>1710</v>
      </c>
      <c r="M1336" s="83"/>
      <c r="N1336" s="83"/>
      <c r="O1336" s="82"/>
      <c r="Q1336" s="89"/>
      <c r="R1336" s="89"/>
    </row>
    <row r="1337" spans="1:18" x14ac:dyDescent="0.25">
      <c r="A1337" s="87"/>
      <c r="B1337" s="98"/>
      <c r="C1337" s="95"/>
      <c r="D1337" s="95"/>
      <c r="E1337" s="95"/>
      <c r="F1337" s="92"/>
      <c r="I1337" t="s">
        <v>27</v>
      </c>
      <c r="J1337" t="s">
        <v>123</v>
      </c>
      <c r="K1337" t="s">
        <v>831</v>
      </c>
      <c r="M1337" s="83"/>
      <c r="N1337" s="83"/>
      <c r="O1337" s="82"/>
      <c r="Q1337" s="89"/>
      <c r="R1337" s="89"/>
    </row>
    <row r="1338" spans="1:18" x14ac:dyDescent="0.25">
      <c r="A1338" s="87"/>
      <c r="B1338" s="98"/>
      <c r="C1338" s="95"/>
      <c r="D1338" s="95"/>
      <c r="E1338" s="95"/>
      <c r="F1338" s="92"/>
      <c r="I1338" t="s">
        <v>27</v>
      </c>
      <c r="J1338" t="s">
        <v>959</v>
      </c>
      <c r="K1338" t="s">
        <v>822</v>
      </c>
      <c r="M1338" s="83"/>
      <c r="N1338" s="83"/>
      <c r="O1338" s="82"/>
      <c r="Q1338" s="89"/>
      <c r="R1338" s="89"/>
    </row>
    <row r="1339" spans="1:18" x14ac:dyDescent="0.25">
      <c r="A1339" s="87"/>
      <c r="B1339" s="98"/>
      <c r="C1339" s="95"/>
      <c r="D1339" s="95"/>
      <c r="E1339" s="95"/>
      <c r="F1339" s="92"/>
      <c r="I1339" t="s">
        <v>27</v>
      </c>
      <c r="J1339" t="s">
        <v>858</v>
      </c>
      <c r="K1339" t="s">
        <v>956</v>
      </c>
      <c r="M1339" s="83"/>
      <c r="N1339" s="83"/>
      <c r="O1339" s="82"/>
      <c r="Q1339" s="89"/>
      <c r="R1339" s="89"/>
    </row>
    <row r="1340" spans="1:18" x14ac:dyDescent="0.25">
      <c r="A1340" s="87"/>
      <c r="B1340" s="98"/>
      <c r="C1340" s="95"/>
      <c r="D1340" s="95"/>
      <c r="E1340" s="95"/>
      <c r="F1340" s="92"/>
      <c r="I1340" t="s">
        <v>27</v>
      </c>
      <c r="J1340" t="s">
        <v>249</v>
      </c>
      <c r="K1340" t="s">
        <v>822</v>
      </c>
      <c r="M1340" s="83"/>
      <c r="N1340" s="83"/>
      <c r="O1340" s="82"/>
      <c r="Q1340" s="89"/>
      <c r="R1340" s="89"/>
    </row>
    <row r="1341" spans="1:18" x14ac:dyDescent="0.25">
      <c r="A1341" s="87"/>
      <c r="B1341" s="98"/>
      <c r="C1341" s="95"/>
      <c r="D1341" s="95"/>
      <c r="E1341" s="95"/>
      <c r="F1341" s="92"/>
      <c r="I1341" t="s">
        <v>27</v>
      </c>
      <c r="J1341" t="s">
        <v>519</v>
      </c>
      <c r="K1341" t="s">
        <v>829</v>
      </c>
      <c r="M1341" s="83"/>
      <c r="N1341" s="83"/>
      <c r="O1341" s="82"/>
      <c r="Q1341" s="89"/>
      <c r="R1341" s="89"/>
    </row>
    <row r="1342" spans="1:18" x14ac:dyDescent="0.25">
      <c r="A1342" s="81"/>
      <c r="B1342" s="99"/>
      <c r="C1342" s="96"/>
      <c r="D1342" s="96"/>
      <c r="E1342" s="96"/>
      <c r="F1342" s="93"/>
      <c r="I1342" t="s">
        <v>27</v>
      </c>
      <c r="J1342" t="s">
        <v>1711</v>
      </c>
      <c r="L1342" t="s">
        <v>949</v>
      </c>
      <c r="M1342" s="73"/>
      <c r="N1342" s="73"/>
      <c r="O1342" s="71"/>
      <c r="Q1342" s="90"/>
      <c r="R1342" s="90"/>
    </row>
    <row r="1343" spans="1:18" s="6" customFormat="1" x14ac:dyDescent="0.25">
      <c r="A1343" s="80">
        <f>$A$2+355</f>
        <v>356</v>
      </c>
      <c r="B1343" s="97">
        <v>22</v>
      </c>
      <c r="C1343" s="94">
        <v>2</v>
      </c>
      <c r="D1343" s="94">
        <v>1730</v>
      </c>
      <c r="E1343" s="94">
        <f>F1343-5</f>
        <v>469</v>
      </c>
      <c r="F1343" s="91">
        <v>474</v>
      </c>
      <c r="G1343" s="20" t="s">
        <v>915</v>
      </c>
      <c r="H1343" s="20" t="s">
        <v>597</v>
      </c>
      <c r="I1343" s="6" t="s">
        <v>27</v>
      </c>
      <c r="J1343" s="6" t="s">
        <v>597</v>
      </c>
      <c r="M1343" s="72" t="s">
        <v>108</v>
      </c>
      <c r="N1343" s="72" t="s">
        <v>20</v>
      </c>
      <c r="O1343" s="70" t="s">
        <v>1713</v>
      </c>
      <c r="Q1343" s="88"/>
      <c r="R1343" s="88"/>
    </row>
    <row r="1344" spans="1:18" x14ac:dyDescent="0.25">
      <c r="A1344" s="87"/>
      <c r="B1344" s="98"/>
      <c r="C1344" s="95"/>
      <c r="D1344" s="95"/>
      <c r="E1344" s="95"/>
      <c r="F1344" s="92"/>
      <c r="J1344" t="s">
        <v>458</v>
      </c>
      <c r="K1344" t="s">
        <v>1712</v>
      </c>
      <c r="M1344" s="83"/>
      <c r="N1344" s="83"/>
      <c r="O1344" s="82"/>
      <c r="Q1344" s="89"/>
      <c r="R1344" s="89"/>
    </row>
    <row r="1345" spans="1:18" x14ac:dyDescent="0.25">
      <c r="A1345" s="87"/>
      <c r="B1345" s="98"/>
      <c r="C1345" s="95"/>
      <c r="D1345" s="95"/>
      <c r="E1345" s="95"/>
      <c r="F1345" s="92"/>
      <c r="J1345" t="s">
        <v>1714</v>
      </c>
      <c r="M1345" s="83"/>
      <c r="N1345" s="83"/>
      <c r="O1345" s="82"/>
      <c r="Q1345" s="89"/>
      <c r="R1345" s="89"/>
    </row>
    <row r="1346" spans="1:18" x14ac:dyDescent="0.25">
      <c r="A1346" s="81"/>
      <c r="B1346" s="99"/>
      <c r="C1346" s="96"/>
      <c r="D1346" s="96"/>
      <c r="E1346" s="96"/>
      <c r="F1346" s="93"/>
      <c r="J1346" t="s">
        <v>1715</v>
      </c>
      <c r="M1346" s="73"/>
      <c r="N1346" s="73"/>
      <c r="O1346" s="71"/>
      <c r="Q1346" s="90"/>
      <c r="R1346" s="90"/>
    </row>
    <row r="1347" spans="1:18" s="6" customFormat="1" x14ac:dyDescent="0.25">
      <c r="A1347" s="80">
        <f>$A$2+356</f>
        <v>357</v>
      </c>
      <c r="B1347" s="97">
        <v>9</v>
      </c>
      <c r="C1347" s="94">
        <v>5</v>
      </c>
      <c r="D1347" s="94">
        <v>1730</v>
      </c>
      <c r="E1347" s="94">
        <f>F1347-5</f>
        <v>469</v>
      </c>
      <c r="F1347" s="91">
        <v>474</v>
      </c>
      <c r="G1347" s="20" t="s">
        <v>1716</v>
      </c>
      <c r="H1347" s="20" t="s">
        <v>1718</v>
      </c>
      <c r="J1347" s="6" t="s">
        <v>1716</v>
      </c>
      <c r="M1347" s="72" t="s">
        <v>244</v>
      </c>
      <c r="N1347" s="72" t="s">
        <v>53</v>
      </c>
      <c r="O1347" s="70" t="s">
        <v>1719</v>
      </c>
      <c r="Q1347" s="88"/>
      <c r="R1347" s="88" t="s">
        <v>1456</v>
      </c>
    </row>
    <row r="1348" spans="1:18" x14ac:dyDescent="0.25">
      <c r="A1348" s="87"/>
      <c r="B1348" s="98"/>
      <c r="C1348" s="95"/>
      <c r="D1348" s="95"/>
      <c r="E1348" s="95"/>
      <c r="F1348" s="92"/>
      <c r="J1348" t="s">
        <v>1718</v>
      </c>
      <c r="M1348" s="83"/>
      <c r="N1348" s="83"/>
      <c r="O1348" s="82"/>
      <c r="Q1348" s="89"/>
      <c r="R1348" s="89"/>
    </row>
    <row r="1349" spans="1:18" x14ac:dyDescent="0.25">
      <c r="A1349" s="87"/>
      <c r="B1349" s="98"/>
      <c r="C1349" s="95"/>
      <c r="D1349" s="95"/>
      <c r="E1349" s="95"/>
      <c r="F1349" s="92"/>
      <c r="J1349" t="s">
        <v>1717</v>
      </c>
      <c r="M1349" s="83"/>
      <c r="N1349" s="83"/>
      <c r="O1349" s="82"/>
      <c r="Q1349" s="89"/>
      <c r="R1349" s="89"/>
    </row>
    <row r="1350" spans="1:18" x14ac:dyDescent="0.25">
      <c r="A1350" s="81"/>
      <c r="B1350" s="99"/>
      <c r="C1350" s="96"/>
      <c r="D1350" s="96"/>
      <c r="E1350" s="96"/>
      <c r="F1350" s="93"/>
      <c r="J1350" t="s">
        <v>679</v>
      </c>
      <c r="M1350" s="73"/>
      <c r="N1350" s="73"/>
      <c r="O1350" s="71"/>
      <c r="Q1350" s="90"/>
      <c r="R1350" s="90"/>
    </row>
    <row r="1351" spans="1:18" s="6" customFormat="1" x14ac:dyDescent="0.25">
      <c r="A1351" s="80">
        <f>$A$2+357</f>
        <v>358</v>
      </c>
      <c r="B1351" s="97">
        <v>27</v>
      </c>
      <c r="C1351" s="94">
        <v>5</v>
      </c>
      <c r="D1351" s="94">
        <v>1730</v>
      </c>
      <c r="E1351" s="94">
        <f>F1351-5</f>
        <v>470</v>
      </c>
      <c r="F1351" s="91">
        <v>475</v>
      </c>
      <c r="G1351" s="20" t="s">
        <v>1720</v>
      </c>
      <c r="H1351" s="20" t="s">
        <v>908</v>
      </c>
      <c r="I1351" s="6" t="s">
        <v>27</v>
      </c>
      <c r="J1351" s="6" t="s">
        <v>908</v>
      </c>
      <c r="M1351" s="72" t="s">
        <v>855</v>
      </c>
      <c r="N1351" s="72" t="s">
        <v>20</v>
      </c>
      <c r="O1351" s="70" t="s">
        <v>1722</v>
      </c>
      <c r="Q1351" s="88"/>
      <c r="R1351" s="88"/>
    </row>
    <row r="1352" spans="1:18" x14ac:dyDescent="0.25">
      <c r="A1352" s="87"/>
      <c r="B1352" s="98"/>
      <c r="C1352" s="95"/>
      <c r="D1352" s="95"/>
      <c r="E1352" s="95"/>
      <c r="F1352" s="92"/>
      <c r="H1352" s="18" t="s">
        <v>59</v>
      </c>
      <c r="I1352" t="s">
        <v>27</v>
      </c>
      <c r="J1352" t="s">
        <v>59</v>
      </c>
      <c r="M1352" s="83"/>
      <c r="N1352" s="83"/>
      <c r="O1352" s="82"/>
      <c r="Q1352" s="89"/>
      <c r="R1352" s="89"/>
    </row>
    <row r="1353" spans="1:18" x14ac:dyDescent="0.25">
      <c r="A1353" s="87"/>
      <c r="B1353" s="98"/>
      <c r="C1353" s="95"/>
      <c r="D1353" s="95"/>
      <c r="E1353" s="95"/>
      <c r="F1353" s="92"/>
      <c r="H1353" s="18" t="s">
        <v>1533</v>
      </c>
      <c r="I1353" t="s">
        <v>31</v>
      </c>
      <c r="J1353" t="s">
        <v>1533</v>
      </c>
      <c r="M1353" s="83"/>
      <c r="N1353" s="83"/>
      <c r="O1353" s="82"/>
      <c r="Q1353" s="89"/>
      <c r="R1353" s="89"/>
    </row>
    <row r="1354" spans="1:18" x14ac:dyDescent="0.25">
      <c r="A1354" s="81"/>
      <c r="B1354" s="99"/>
      <c r="C1354" s="96"/>
      <c r="D1354" s="96"/>
      <c r="E1354" s="96"/>
      <c r="F1354" s="93"/>
      <c r="J1354" t="s">
        <v>1438</v>
      </c>
      <c r="K1354" t="s">
        <v>1721</v>
      </c>
      <c r="M1354" s="73"/>
      <c r="N1354" s="73"/>
      <c r="O1354" s="71"/>
      <c r="Q1354" s="90"/>
      <c r="R1354" s="90"/>
    </row>
    <row r="1355" spans="1:18" s="6" customFormat="1" x14ac:dyDescent="0.25">
      <c r="A1355" s="80">
        <f>$A$2+357</f>
        <v>358</v>
      </c>
      <c r="B1355" s="97">
        <v>30</v>
      </c>
      <c r="C1355" s="94">
        <v>6</v>
      </c>
      <c r="D1355" s="94">
        <v>1730</v>
      </c>
      <c r="E1355" s="94">
        <f>F1355-5</f>
        <v>470</v>
      </c>
      <c r="F1355" s="91">
        <v>475</v>
      </c>
      <c r="G1355" s="20" t="s">
        <v>1723</v>
      </c>
      <c r="H1355" s="20" t="s">
        <v>1100</v>
      </c>
      <c r="J1355" s="6" t="s">
        <v>1100</v>
      </c>
      <c r="M1355" s="72" t="s">
        <v>1726</v>
      </c>
      <c r="N1355" s="72" t="s">
        <v>53</v>
      </c>
      <c r="O1355" s="70" t="s">
        <v>1727</v>
      </c>
      <c r="Q1355" s="88"/>
      <c r="R1355" s="88"/>
    </row>
    <row r="1356" spans="1:18" x14ac:dyDescent="0.25">
      <c r="A1356" s="87"/>
      <c r="B1356" s="98"/>
      <c r="C1356" s="95"/>
      <c r="D1356" s="95"/>
      <c r="E1356" s="95"/>
      <c r="F1356" s="92"/>
      <c r="J1356" t="s">
        <v>1725</v>
      </c>
      <c r="M1356" s="83"/>
      <c r="N1356" s="83"/>
      <c r="O1356" s="82"/>
      <c r="Q1356" s="89"/>
      <c r="R1356" s="89"/>
    </row>
    <row r="1357" spans="1:18" x14ac:dyDescent="0.25">
      <c r="A1357" s="81"/>
      <c r="B1357" s="99"/>
      <c r="C1357" s="96"/>
      <c r="D1357" s="96"/>
      <c r="E1357" s="96"/>
      <c r="F1357" s="93"/>
      <c r="I1357" t="s">
        <v>1540</v>
      </c>
      <c r="J1357" t="s">
        <v>1723</v>
      </c>
      <c r="K1357" t="s">
        <v>1724</v>
      </c>
      <c r="M1357" s="73"/>
      <c r="N1357" s="73"/>
      <c r="O1357" s="71"/>
      <c r="Q1357" s="90"/>
      <c r="R1357" s="90"/>
    </row>
    <row r="1358" spans="1:18" s="6" customFormat="1" x14ac:dyDescent="0.25">
      <c r="A1358" s="80">
        <f>$A$2+358</f>
        <v>359</v>
      </c>
      <c r="B1358" s="97">
        <v>13</v>
      </c>
      <c r="C1358" s="94">
        <v>7</v>
      </c>
      <c r="D1358" s="94">
        <v>1730</v>
      </c>
      <c r="E1358" s="94">
        <f>F1358-5</f>
        <v>471</v>
      </c>
      <c r="F1358" s="91">
        <v>476</v>
      </c>
      <c r="G1358" s="20" t="s">
        <v>1561</v>
      </c>
      <c r="H1358" s="20" t="s">
        <v>1728</v>
      </c>
      <c r="I1358" s="6" t="s">
        <v>103</v>
      </c>
      <c r="J1358" s="6" t="s">
        <v>1561</v>
      </c>
      <c r="M1358" s="72" t="s">
        <v>244</v>
      </c>
      <c r="N1358" s="72" t="s">
        <v>9</v>
      </c>
      <c r="O1358" s="70" t="s">
        <v>1729</v>
      </c>
      <c r="Q1358" s="88"/>
      <c r="R1358" s="88"/>
    </row>
    <row r="1359" spans="1:18" x14ac:dyDescent="0.25">
      <c r="A1359" s="87"/>
      <c r="B1359" s="98"/>
      <c r="C1359" s="95"/>
      <c r="D1359" s="95"/>
      <c r="E1359" s="95"/>
      <c r="F1359" s="92"/>
      <c r="J1359" t="s">
        <v>1728</v>
      </c>
      <c r="M1359" s="83"/>
      <c r="N1359" s="83"/>
      <c r="O1359" s="82"/>
      <c r="Q1359" s="89"/>
      <c r="R1359" s="89"/>
    </row>
    <row r="1360" spans="1:18" x14ac:dyDescent="0.25">
      <c r="A1360" s="81"/>
      <c r="B1360" s="99"/>
      <c r="C1360" s="96"/>
      <c r="D1360" s="96"/>
      <c r="E1360" s="96"/>
      <c r="F1360" s="93"/>
      <c r="I1360" t="s">
        <v>27</v>
      </c>
      <c r="J1360" t="s">
        <v>1104</v>
      </c>
      <c r="M1360" s="73"/>
      <c r="N1360" s="73"/>
      <c r="O1360" s="71"/>
      <c r="Q1360" s="90"/>
      <c r="R1360" s="90"/>
    </row>
    <row r="1361" spans="1:18" s="6" customFormat="1" x14ac:dyDescent="0.25">
      <c r="A1361" s="80">
        <f>$A$2+360</f>
        <v>361</v>
      </c>
      <c r="B1361" s="97">
        <v>13</v>
      </c>
      <c r="C1361" s="94">
        <v>7</v>
      </c>
      <c r="D1361" s="94">
        <v>1730</v>
      </c>
      <c r="E1361" s="94">
        <f>F1361-5</f>
        <v>471</v>
      </c>
      <c r="F1361" s="91">
        <v>476</v>
      </c>
      <c r="G1361" s="20" t="s">
        <v>926</v>
      </c>
      <c r="H1361" s="20" t="s">
        <v>1731</v>
      </c>
      <c r="J1361" s="6" t="s">
        <v>1731</v>
      </c>
      <c r="M1361" s="72" t="s">
        <v>244</v>
      </c>
      <c r="N1361" s="72" t="s">
        <v>53</v>
      </c>
      <c r="O1361" s="70" t="s">
        <v>1730</v>
      </c>
      <c r="Q1361" s="88"/>
      <c r="R1361" s="88"/>
    </row>
    <row r="1362" spans="1:18" x14ac:dyDescent="0.25">
      <c r="A1362" s="81"/>
      <c r="B1362" s="99"/>
      <c r="C1362" s="96"/>
      <c r="D1362" s="96"/>
      <c r="E1362" s="96"/>
      <c r="F1362" s="93"/>
      <c r="I1362" t="s">
        <v>103</v>
      </c>
      <c r="J1362" t="s">
        <v>926</v>
      </c>
      <c r="M1362" s="73"/>
      <c r="N1362" s="73"/>
      <c r="O1362" s="71"/>
      <c r="Q1362" s="90"/>
      <c r="R1362" s="90"/>
    </row>
    <row r="1363" spans="1:18" s="6" customFormat="1" ht="14.25" customHeight="1" x14ac:dyDescent="0.25">
      <c r="A1363" s="25">
        <f>$A$2+361</f>
        <v>362</v>
      </c>
      <c r="B1363" s="45">
        <v>31</v>
      </c>
      <c r="C1363" s="4">
        <v>7</v>
      </c>
      <c r="D1363" s="4">
        <v>1730</v>
      </c>
      <c r="E1363" s="4">
        <f>F1363-5</f>
        <v>473</v>
      </c>
      <c r="F1363" s="3">
        <v>478</v>
      </c>
      <c r="G1363" s="20"/>
      <c r="H1363" s="20"/>
      <c r="I1363" s="6" t="s">
        <v>339</v>
      </c>
      <c r="J1363" s="6" t="s">
        <v>1732</v>
      </c>
      <c r="M1363" s="27" t="s">
        <v>244</v>
      </c>
      <c r="N1363" s="27" t="s">
        <v>53</v>
      </c>
      <c r="O1363" s="35" t="s">
        <v>1733</v>
      </c>
      <c r="Q1363" s="44"/>
      <c r="R1363" s="44"/>
    </row>
    <row r="1364" spans="1:18" s="6" customFormat="1" x14ac:dyDescent="0.25">
      <c r="A1364" s="80">
        <f>$A$2+362</f>
        <v>363</v>
      </c>
      <c r="B1364" s="97">
        <v>18</v>
      </c>
      <c r="C1364" s="94">
        <v>8</v>
      </c>
      <c r="D1364" s="94">
        <v>1730</v>
      </c>
      <c r="E1364" s="94">
        <f>F1364-5</f>
        <v>474</v>
      </c>
      <c r="F1364" s="91">
        <v>479</v>
      </c>
      <c r="G1364" s="20" t="s">
        <v>1749</v>
      </c>
      <c r="H1364" s="20" t="s">
        <v>602</v>
      </c>
      <c r="I1364" s="6" t="s">
        <v>103</v>
      </c>
      <c r="J1364" s="6" t="s">
        <v>1749</v>
      </c>
      <c r="M1364" s="72" t="s">
        <v>1069</v>
      </c>
      <c r="N1364" s="72" t="s">
        <v>9</v>
      </c>
      <c r="O1364" s="70" t="s">
        <v>1739</v>
      </c>
      <c r="Q1364" s="88"/>
      <c r="R1364" s="88"/>
    </row>
    <row r="1365" spans="1:18" x14ac:dyDescent="0.25">
      <c r="A1365" s="87"/>
      <c r="B1365" s="98"/>
      <c r="C1365" s="95"/>
      <c r="D1365" s="95"/>
      <c r="E1365" s="95"/>
      <c r="F1365" s="92"/>
      <c r="I1365" t="s">
        <v>103</v>
      </c>
      <c r="J1365" t="s">
        <v>602</v>
      </c>
      <c r="M1365" s="83"/>
      <c r="N1365" s="83"/>
      <c r="O1365" s="82"/>
      <c r="P1365" t="s">
        <v>1737</v>
      </c>
      <c r="Q1365" s="89"/>
      <c r="R1365" s="89"/>
    </row>
    <row r="1366" spans="1:18" x14ac:dyDescent="0.25">
      <c r="A1366" s="87"/>
      <c r="B1366" s="98"/>
      <c r="C1366" s="95"/>
      <c r="D1366" s="95"/>
      <c r="E1366" s="95"/>
      <c r="F1366" s="92"/>
      <c r="I1366" t="s">
        <v>27</v>
      </c>
      <c r="J1366" t="s">
        <v>1104</v>
      </c>
      <c r="M1366" s="83"/>
      <c r="N1366" s="83"/>
      <c r="O1366" s="82"/>
      <c r="Q1366" s="89"/>
      <c r="R1366" s="89"/>
    </row>
    <row r="1367" spans="1:18" x14ac:dyDescent="0.25">
      <c r="A1367" s="87"/>
      <c r="B1367" s="98"/>
      <c r="C1367" s="95"/>
      <c r="D1367" s="95"/>
      <c r="E1367" s="95"/>
      <c r="F1367" s="92"/>
      <c r="J1367" t="s">
        <v>1734</v>
      </c>
      <c r="K1367" t="s">
        <v>1735</v>
      </c>
      <c r="M1367" s="83"/>
      <c r="N1367" s="83"/>
      <c r="O1367" s="82"/>
      <c r="Q1367" s="89"/>
      <c r="R1367" s="89"/>
    </row>
    <row r="1368" spans="1:18" x14ac:dyDescent="0.25">
      <c r="A1368" s="81"/>
      <c r="B1368" s="99"/>
      <c r="C1368" s="96"/>
      <c r="D1368" s="96"/>
      <c r="E1368" s="96"/>
      <c r="F1368" s="93"/>
      <c r="J1368" t="s">
        <v>1736</v>
      </c>
      <c r="M1368" s="73"/>
      <c r="N1368" s="73"/>
      <c r="O1368" s="71"/>
      <c r="P1368" t="s">
        <v>1738</v>
      </c>
      <c r="Q1368" s="90"/>
      <c r="R1368" s="90"/>
    </row>
    <row r="1369" spans="1:18" s="6" customFormat="1" x14ac:dyDescent="0.25">
      <c r="A1369" s="80">
        <f>$A$2+363</f>
        <v>364</v>
      </c>
      <c r="B1369" s="97">
        <v>18</v>
      </c>
      <c r="C1369" s="94">
        <v>8</v>
      </c>
      <c r="D1369" s="94">
        <v>1730</v>
      </c>
      <c r="E1369" s="94">
        <f>F1369-5</f>
        <v>474</v>
      </c>
      <c r="F1369" s="91">
        <v>479</v>
      </c>
      <c r="G1369" s="20" t="s">
        <v>457</v>
      </c>
      <c r="H1369" s="20" t="s">
        <v>643</v>
      </c>
      <c r="I1369" s="6" t="s">
        <v>103</v>
      </c>
      <c r="J1369" s="6" t="s">
        <v>643</v>
      </c>
      <c r="M1369" s="72"/>
      <c r="N1369" s="72" t="s">
        <v>344</v>
      </c>
      <c r="O1369" s="70"/>
      <c r="Q1369" s="88"/>
      <c r="R1369" s="88"/>
    </row>
    <row r="1370" spans="1:18" x14ac:dyDescent="0.25">
      <c r="A1370" s="81"/>
      <c r="B1370" s="99"/>
      <c r="C1370" s="96"/>
      <c r="D1370" s="96"/>
      <c r="E1370" s="96"/>
      <c r="F1370" s="93"/>
      <c r="I1370" t="s">
        <v>103</v>
      </c>
      <c r="J1370" t="s">
        <v>457</v>
      </c>
      <c r="M1370" s="73"/>
      <c r="N1370" s="73"/>
      <c r="O1370" s="71"/>
      <c r="Q1370" s="90"/>
      <c r="R1370" s="90"/>
    </row>
    <row r="1371" spans="1:18" s="6" customFormat="1" x14ac:dyDescent="0.25">
      <c r="A1371" s="80">
        <f>$A$2+364</f>
        <v>365</v>
      </c>
      <c r="B1371" s="97">
        <v>23</v>
      </c>
      <c r="C1371" s="94">
        <v>8</v>
      </c>
      <c r="D1371" s="94">
        <v>1730</v>
      </c>
      <c r="E1371" s="94">
        <f>F1371-5</f>
        <v>474</v>
      </c>
      <c r="F1371" s="91">
        <v>479</v>
      </c>
      <c r="G1371" s="20" t="s">
        <v>1743</v>
      </c>
      <c r="H1371" s="20" t="s">
        <v>1741</v>
      </c>
      <c r="J1371" s="6" t="s">
        <v>1740</v>
      </c>
      <c r="K1371" s="6" t="s">
        <v>550</v>
      </c>
      <c r="M1371" s="72" t="s">
        <v>1748</v>
      </c>
      <c r="N1371" s="72" t="s">
        <v>53</v>
      </c>
      <c r="O1371" s="70" t="s">
        <v>1747</v>
      </c>
      <c r="Q1371" s="88"/>
      <c r="R1371" s="88"/>
    </row>
    <row r="1372" spans="1:18" x14ac:dyDescent="0.25">
      <c r="A1372" s="87"/>
      <c r="B1372" s="98"/>
      <c r="C1372" s="95"/>
      <c r="D1372" s="95"/>
      <c r="E1372" s="95"/>
      <c r="F1372" s="92"/>
      <c r="G1372" s="18" t="s">
        <v>1740</v>
      </c>
      <c r="J1372" t="s">
        <v>1744</v>
      </c>
      <c r="L1372" t="s">
        <v>1745</v>
      </c>
      <c r="M1372" s="83"/>
      <c r="N1372" s="83"/>
      <c r="O1372" s="82"/>
      <c r="P1372" t="s">
        <v>1746</v>
      </c>
      <c r="Q1372" s="89"/>
      <c r="R1372" s="89"/>
    </row>
    <row r="1373" spans="1:18" x14ac:dyDescent="0.25">
      <c r="A1373" s="81"/>
      <c r="B1373" s="99"/>
      <c r="C1373" s="96"/>
      <c r="D1373" s="96"/>
      <c r="E1373" s="96"/>
      <c r="F1373" s="93"/>
      <c r="J1373" t="s">
        <v>1741</v>
      </c>
      <c r="K1373" t="s">
        <v>1742</v>
      </c>
      <c r="M1373" s="73"/>
      <c r="N1373" s="73"/>
      <c r="O1373" s="71"/>
      <c r="Q1373" s="90"/>
      <c r="R1373" s="90"/>
    </row>
    <row r="1374" spans="1:18" s="6" customFormat="1" x14ac:dyDescent="0.25">
      <c r="A1374" s="80">
        <f>$A$2+365</f>
        <v>366</v>
      </c>
      <c r="B1374" s="97">
        <v>30</v>
      </c>
      <c r="C1374" s="94">
        <v>8</v>
      </c>
      <c r="D1374" s="94">
        <v>1730</v>
      </c>
      <c r="E1374" s="94">
        <f>F1374-5</f>
        <v>475</v>
      </c>
      <c r="F1374" s="91">
        <v>480</v>
      </c>
      <c r="G1374" s="20" t="s">
        <v>457</v>
      </c>
      <c r="H1374" s="20" t="s">
        <v>940</v>
      </c>
      <c r="I1374" s="6" t="s">
        <v>103</v>
      </c>
      <c r="J1374" s="6" t="s">
        <v>457</v>
      </c>
      <c r="M1374" s="72" t="s">
        <v>244</v>
      </c>
      <c r="N1374" s="72" t="s">
        <v>9</v>
      </c>
      <c r="O1374" s="70" t="s">
        <v>1753</v>
      </c>
      <c r="Q1374" s="88"/>
      <c r="R1374" s="88" t="s">
        <v>1456</v>
      </c>
    </row>
    <row r="1375" spans="1:18" x14ac:dyDescent="0.25">
      <c r="A1375" s="87"/>
      <c r="B1375" s="98"/>
      <c r="C1375" s="95"/>
      <c r="D1375" s="95"/>
      <c r="E1375" s="95"/>
      <c r="F1375" s="92"/>
      <c r="J1375" t="s">
        <v>940</v>
      </c>
      <c r="M1375" s="83"/>
      <c r="N1375" s="83"/>
      <c r="O1375" s="82"/>
      <c r="Q1375" s="89"/>
      <c r="R1375" s="89"/>
    </row>
    <row r="1376" spans="1:18" x14ac:dyDescent="0.25">
      <c r="A1376" s="87"/>
      <c r="B1376" s="98"/>
      <c r="C1376" s="95"/>
      <c r="D1376" s="95"/>
      <c r="E1376" s="95"/>
      <c r="F1376" s="92"/>
      <c r="I1376" t="s">
        <v>27</v>
      </c>
      <c r="J1376" t="s">
        <v>63</v>
      </c>
      <c r="L1376" t="s">
        <v>1750</v>
      </c>
      <c r="M1376" s="83"/>
      <c r="N1376" s="83"/>
      <c r="O1376" s="82"/>
      <c r="P1376" t="s">
        <v>1751</v>
      </c>
      <c r="Q1376" s="89"/>
      <c r="R1376" s="89"/>
    </row>
    <row r="1377" spans="1:18" x14ac:dyDescent="0.25">
      <c r="A1377" s="81"/>
      <c r="B1377" s="99"/>
      <c r="C1377" s="96"/>
      <c r="D1377" s="96"/>
      <c r="E1377" s="96"/>
      <c r="F1377" s="93"/>
      <c r="I1377" t="s">
        <v>27</v>
      </c>
      <c r="J1377" t="s">
        <v>1752</v>
      </c>
      <c r="M1377" s="73"/>
      <c r="N1377" s="73"/>
      <c r="O1377" s="71"/>
      <c r="Q1377" s="90"/>
      <c r="R1377" s="90"/>
    </row>
    <row r="1378" spans="1:18" s="6" customFormat="1" x14ac:dyDescent="0.25">
      <c r="A1378" s="80">
        <f>$A$2+366</f>
        <v>367</v>
      </c>
      <c r="B1378" s="97">
        <v>30</v>
      </c>
      <c r="C1378" s="94">
        <v>8</v>
      </c>
      <c r="D1378" s="94">
        <v>1730</v>
      </c>
      <c r="E1378" s="94">
        <f>F1378-5</f>
        <v>476</v>
      </c>
      <c r="F1378" s="91">
        <v>481</v>
      </c>
      <c r="G1378" s="20" t="s">
        <v>940</v>
      </c>
      <c r="H1378" s="20" t="s">
        <v>676</v>
      </c>
      <c r="J1378" s="6" t="s">
        <v>940</v>
      </c>
      <c r="M1378" s="72" t="s">
        <v>855</v>
      </c>
      <c r="N1378" s="72" t="s">
        <v>53</v>
      </c>
      <c r="O1378" s="70" t="s">
        <v>1756</v>
      </c>
      <c r="Q1378" s="8"/>
      <c r="R1378" s="8"/>
    </row>
    <row r="1379" spans="1:18" x14ac:dyDescent="0.25">
      <c r="A1379" s="87"/>
      <c r="B1379" s="98"/>
      <c r="C1379" s="95"/>
      <c r="D1379" s="95"/>
      <c r="E1379" s="95"/>
      <c r="F1379" s="92"/>
      <c r="J1379" t="s">
        <v>676</v>
      </c>
      <c r="M1379" s="83"/>
      <c r="N1379" s="83"/>
      <c r="O1379" s="82"/>
    </row>
    <row r="1380" spans="1:18" x14ac:dyDescent="0.25">
      <c r="A1380" s="87"/>
      <c r="B1380" s="98"/>
      <c r="C1380" s="95"/>
      <c r="D1380" s="95"/>
      <c r="E1380" s="95"/>
      <c r="F1380" s="92"/>
      <c r="J1380" t="s">
        <v>142</v>
      </c>
      <c r="M1380" s="83"/>
      <c r="N1380" s="83"/>
      <c r="O1380" s="82"/>
    </row>
    <row r="1381" spans="1:18" s="1" customFormat="1" x14ac:dyDescent="0.25">
      <c r="A1381" s="81"/>
      <c r="B1381" s="99"/>
      <c r="C1381" s="96"/>
      <c r="D1381" s="96"/>
      <c r="E1381" s="96"/>
      <c r="F1381" s="93"/>
      <c r="G1381" s="19"/>
      <c r="H1381" s="19"/>
      <c r="J1381" s="1" t="s">
        <v>458</v>
      </c>
      <c r="K1381" s="1" t="s">
        <v>1754</v>
      </c>
      <c r="L1381" s="1" t="s">
        <v>1755</v>
      </c>
      <c r="M1381" s="73"/>
      <c r="N1381" s="73"/>
      <c r="O1381" s="71"/>
      <c r="Q1381" s="42"/>
      <c r="R1381" s="42"/>
    </row>
    <row r="1382" spans="1:18" x14ac:dyDescent="0.25">
      <c r="A1382" s="80">
        <f>$A$2+367</f>
        <v>368</v>
      </c>
      <c r="B1382" s="97">
        <v>14</v>
      </c>
      <c r="C1382" s="94">
        <v>10</v>
      </c>
      <c r="D1382" s="94">
        <v>1730</v>
      </c>
      <c r="E1382" s="94">
        <v>478</v>
      </c>
      <c r="F1382" s="91">
        <v>482</v>
      </c>
      <c r="G1382" s="18" t="s">
        <v>1757</v>
      </c>
      <c r="H1382" s="18" t="s">
        <v>1758</v>
      </c>
      <c r="I1382" t="s">
        <v>27</v>
      </c>
      <c r="J1382" t="s">
        <v>1757</v>
      </c>
      <c r="L1382" t="s">
        <v>375</v>
      </c>
      <c r="M1382" s="72" t="s">
        <v>594</v>
      </c>
      <c r="N1382" s="72" t="s">
        <v>600</v>
      </c>
      <c r="O1382" s="70"/>
    </row>
    <row r="1383" spans="1:18" x14ac:dyDescent="0.25">
      <c r="A1383" s="87"/>
      <c r="B1383" s="98"/>
      <c r="C1383" s="95"/>
      <c r="D1383" s="95"/>
      <c r="E1383" s="95"/>
      <c r="F1383" s="92"/>
      <c r="H1383" s="18" t="s">
        <v>37</v>
      </c>
      <c r="I1383" t="s">
        <v>103</v>
      </c>
      <c r="J1383" t="s">
        <v>1758</v>
      </c>
      <c r="K1383" t="s">
        <v>1670</v>
      </c>
      <c r="M1383" s="83"/>
      <c r="N1383" s="83"/>
      <c r="O1383" s="82"/>
    </row>
    <row r="1384" spans="1:18" x14ac:dyDescent="0.25">
      <c r="A1384" s="87"/>
      <c r="B1384" s="98"/>
      <c r="C1384" s="95"/>
      <c r="D1384" s="95"/>
      <c r="E1384" s="95"/>
      <c r="F1384" s="92"/>
      <c r="H1384" s="18" t="s">
        <v>457</v>
      </c>
      <c r="I1384" t="s">
        <v>103</v>
      </c>
      <c r="J1384" t="s">
        <v>37</v>
      </c>
      <c r="K1384" t="s">
        <v>1081</v>
      </c>
      <c r="M1384" s="83"/>
      <c r="N1384" s="83"/>
      <c r="O1384" s="82"/>
    </row>
    <row r="1385" spans="1:18" x14ac:dyDescent="0.25">
      <c r="A1385" s="87"/>
      <c r="B1385" s="98"/>
      <c r="C1385" s="95"/>
      <c r="D1385" s="95"/>
      <c r="E1385" s="95"/>
      <c r="F1385" s="92"/>
      <c r="H1385" s="18" t="s">
        <v>801</v>
      </c>
      <c r="I1385" t="s">
        <v>103</v>
      </c>
      <c r="J1385" t="s">
        <v>457</v>
      </c>
      <c r="K1385" t="s">
        <v>1118</v>
      </c>
      <c r="M1385" s="83"/>
      <c r="N1385" s="83"/>
      <c r="O1385" s="82"/>
    </row>
    <row r="1386" spans="1:18" x14ac:dyDescent="0.25">
      <c r="A1386" s="87"/>
      <c r="B1386" s="98"/>
      <c r="C1386" s="95"/>
      <c r="D1386" s="95"/>
      <c r="E1386" s="95"/>
      <c r="F1386" s="92"/>
      <c r="H1386" s="18" t="s">
        <v>1398</v>
      </c>
      <c r="I1386" t="s">
        <v>103</v>
      </c>
      <c r="J1386" t="s">
        <v>801</v>
      </c>
      <c r="K1386" t="s">
        <v>1118</v>
      </c>
      <c r="M1386" s="83"/>
      <c r="N1386" s="83"/>
      <c r="O1386" s="82"/>
    </row>
    <row r="1387" spans="1:18" s="1" customFormat="1" x14ac:dyDescent="0.25">
      <c r="A1387" s="81"/>
      <c r="B1387" s="99"/>
      <c r="C1387" s="96"/>
      <c r="D1387" s="96"/>
      <c r="E1387" s="96"/>
      <c r="F1387" s="93"/>
      <c r="G1387" s="19"/>
      <c r="H1387" s="19"/>
      <c r="I1387" s="1" t="s">
        <v>103</v>
      </c>
      <c r="J1387" s="1" t="s">
        <v>1398</v>
      </c>
      <c r="K1387" s="1" t="s">
        <v>1118</v>
      </c>
      <c r="M1387" s="73"/>
      <c r="N1387" s="73"/>
      <c r="O1387" s="71"/>
      <c r="Q1387" s="42"/>
      <c r="R1387" s="42"/>
    </row>
    <row r="1388" spans="1:18" x14ac:dyDescent="0.25">
      <c r="A1388" s="80">
        <f>$A$2+368</f>
        <v>369</v>
      </c>
      <c r="B1388" s="97">
        <v>15</v>
      </c>
      <c r="C1388" s="94">
        <v>10</v>
      </c>
      <c r="D1388" s="94">
        <v>1730</v>
      </c>
      <c r="E1388" s="94">
        <v>478</v>
      </c>
      <c r="F1388" s="91">
        <v>482</v>
      </c>
      <c r="G1388" s="18" t="s">
        <v>1452</v>
      </c>
      <c r="H1388" s="18" t="s">
        <v>1759</v>
      </c>
      <c r="I1388" t="s">
        <v>103</v>
      </c>
      <c r="J1388" t="s">
        <v>1759</v>
      </c>
      <c r="K1388" t="s">
        <v>1081</v>
      </c>
      <c r="M1388" s="72" t="s">
        <v>1763</v>
      </c>
      <c r="N1388" s="72" t="s">
        <v>20</v>
      </c>
      <c r="O1388" s="70" t="s">
        <v>1762</v>
      </c>
    </row>
    <row r="1389" spans="1:18" x14ac:dyDescent="0.25">
      <c r="A1389" s="87"/>
      <c r="B1389" s="98"/>
      <c r="C1389" s="95"/>
      <c r="D1389" s="95"/>
      <c r="E1389" s="95"/>
      <c r="F1389" s="92"/>
      <c r="I1389" t="s">
        <v>104</v>
      </c>
      <c r="J1389" t="s">
        <v>906</v>
      </c>
      <c r="L1389" t="s">
        <v>1760</v>
      </c>
      <c r="M1389" s="83"/>
      <c r="N1389" s="83"/>
      <c r="O1389" s="82"/>
    </row>
    <row r="1390" spans="1:18" s="52" customFormat="1" x14ac:dyDescent="0.25">
      <c r="A1390" s="81"/>
      <c r="B1390" s="99"/>
      <c r="C1390" s="96"/>
      <c r="D1390" s="96"/>
      <c r="E1390" s="96"/>
      <c r="F1390" s="93"/>
      <c r="G1390" s="53"/>
      <c r="H1390" s="53"/>
      <c r="J1390" s="52" t="s">
        <v>458</v>
      </c>
      <c r="K1390" s="52" t="s">
        <v>1761</v>
      </c>
      <c r="M1390" s="73"/>
      <c r="N1390" s="73"/>
      <c r="O1390" s="71"/>
      <c r="Q1390" s="42"/>
      <c r="R1390" s="42"/>
    </row>
    <row r="1391" spans="1:18" x14ac:dyDescent="0.25">
      <c r="A1391" s="80">
        <f>$A$2+369</f>
        <v>370</v>
      </c>
      <c r="B1391" s="97">
        <v>25</v>
      </c>
      <c r="C1391" s="94">
        <v>10</v>
      </c>
      <c r="D1391" s="94">
        <v>1730</v>
      </c>
      <c r="E1391" s="94">
        <v>479</v>
      </c>
      <c r="F1391" s="91">
        <v>483</v>
      </c>
      <c r="G1391" s="18" t="s">
        <v>1764</v>
      </c>
      <c r="H1391" s="18" t="s">
        <v>1758</v>
      </c>
      <c r="I1391" t="s">
        <v>27</v>
      </c>
      <c r="J1391" t="s">
        <v>1764</v>
      </c>
      <c r="L1391" t="s">
        <v>1765</v>
      </c>
      <c r="M1391" s="72" t="s">
        <v>594</v>
      </c>
      <c r="N1391" s="72" t="s">
        <v>600</v>
      </c>
      <c r="O1391" s="70"/>
    </row>
    <row r="1392" spans="1:18" x14ac:dyDescent="0.25">
      <c r="A1392" s="87"/>
      <c r="B1392" s="98"/>
      <c r="C1392" s="95"/>
      <c r="D1392" s="95"/>
      <c r="E1392" s="95"/>
      <c r="F1392" s="92"/>
      <c r="H1392" s="18" t="s">
        <v>37</v>
      </c>
      <c r="I1392" t="s">
        <v>103</v>
      </c>
      <c r="J1392" t="s">
        <v>1758</v>
      </c>
      <c r="K1392" t="s">
        <v>1670</v>
      </c>
      <c r="M1392" s="83"/>
      <c r="N1392" s="83"/>
      <c r="O1392" s="82"/>
    </row>
    <row r="1393" spans="1:18" x14ac:dyDescent="0.25">
      <c r="A1393" s="87"/>
      <c r="B1393" s="98"/>
      <c r="C1393" s="95"/>
      <c r="D1393" s="95"/>
      <c r="E1393" s="95"/>
      <c r="F1393" s="92"/>
      <c r="H1393" s="18" t="s">
        <v>457</v>
      </c>
      <c r="I1393" t="s">
        <v>103</v>
      </c>
      <c r="J1393" t="s">
        <v>37</v>
      </c>
      <c r="K1393" t="s">
        <v>1081</v>
      </c>
      <c r="M1393" s="83"/>
      <c r="N1393" s="83"/>
      <c r="O1393" s="82"/>
    </row>
    <row r="1394" spans="1:18" x14ac:dyDescent="0.25">
      <c r="A1394" s="87"/>
      <c r="B1394" s="98"/>
      <c r="C1394" s="95"/>
      <c r="D1394" s="95"/>
      <c r="E1394" s="95"/>
      <c r="F1394" s="92"/>
      <c r="H1394" s="18" t="s">
        <v>801</v>
      </c>
      <c r="I1394" t="s">
        <v>103</v>
      </c>
      <c r="J1394" t="s">
        <v>457</v>
      </c>
      <c r="K1394" t="s">
        <v>1118</v>
      </c>
      <c r="M1394" s="83"/>
      <c r="N1394" s="83"/>
      <c r="O1394" s="82"/>
    </row>
    <row r="1395" spans="1:18" x14ac:dyDescent="0.25">
      <c r="A1395" s="87"/>
      <c r="B1395" s="98"/>
      <c r="C1395" s="95"/>
      <c r="D1395" s="95"/>
      <c r="E1395" s="95"/>
      <c r="F1395" s="92"/>
      <c r="H1395" s="18" t="s">
        <v>1398</v>
      </c>
      <c r="I1395" t="s">
        <v>103</v>
      </c>
      <c r="J1395" t="s">
        <v>801</v>
      </c>
      <c r="K1395" t="s">
        <v>1118</v>
      </c>
      <c r="M1395" s="83"/>
      <c r="N1395" s="83"/>
      <c r="O1395" s="82"/>
    </row>
    <row r="1396" spans="1:18" s="1" customFormat="1" x14ac:dyDescent="0.25">
      <c r="A1396" s="81"/>
      <c r="B1396" s="99"/>
      <c r="C1396" s="96"/>
      <c r="D1396" s="96"/>
      <c r="E1396" s="96"/>
      <c r="F1396" s="93"/>
      <c r="G1396" s="19"/>
      <c r="H1396" s="19"/>
      <c r="I1396" s="1" t="s">
        <v>103</v>
      </c>
      <c r="J1396" s="1" t="s">
        <v>1398</v>
      </c>
      <c r="K1396" s="1" t="s">
        <v>1118</v>
      </c>
      <c r="M1396" s="73"/>
      <c r="N1396" s="73"/>
      <c r="O1396" s="71"/>
      <c r="Q1396" s="42"/>
      <c r="R1396" s="42"/>
    </row>
    <row r="1397" spans="1:18" x14ac:dyDescent="0.25">
      <c r="A1397" s="80">
        <f>$A$2+370</f>
        <v>371</v>
      </c>
      <c r="B1397" s="97">
        <v>25</v>
      </c>
      <c r="C1397" s="94">
        <v>10</v>
      </c>
      <c r="D1397" s="94">
        <v>1730</v>
      </c>
      <c r="E1397" s="94">
        <v>479</v>
      </c>
      <c r="F1397" s="91">
        <v>483</v>
      </c>
      <c r="G1397" s="18" t="s">
        <v>885</v>
      </c>
      <c r="H1397" s="18" t="s">
        <v>256</v>
      </c>
      <c r="I1397" t="s">
        <v>27</v>
      </c>
      <c r="J1397" t="s">
        <v>256</v>
      </c>
      <c r="M1397" s="72"/>
      <c r="N1397" s="72" t="s">
        <v>344</v>
      </c>
      <c r="O1397" s="70"/>
    </row>
    <row r="1398" spans="1:18" s="1" customFormat="1" x14ac:dyDescent="0.25">
      <c r="A1398" s="81"/>
      <c r="B1398" s="99"/>
      <c r="C1398" s="96"/>
      <c r="D1398" s="96"/>
      <c r="E1398" s="96"/>
      <c r="F1398" s="93"/>
      <c r="G1398" s="19"/>
      <c r="H1398" s="19"/>
      <c r="I1398" s="1" t="s">
        <v>27</v>
      </c>
      <c r="J1398" s="1" t="s">
        <v>885</v>
      </c>
      <c r="M1398" s="73"/>
      <c r="N1398" s="73"/>
      <c r="O1398" s="71"/>
      <c r="Q1398" s="42"/>
      <c r="R1398" s="42"/>
    </row>
    <row r="1399" spans="1:18" x14ac:dyDescent="0.25">
      <c r="A1399" s="80">
        <f>$A$2+371</f>
        <v>372</v>
      </c>
      <c r="B1399" s="97">
        <v>3</v>
      </c>
      <c r="C1399" s="94">
        <v>11</v>
      </c>
      <c r="D1399" s="94">
        <v>1730</v>
      </c>
      <c r="E1399" s="94">
        <v>480</v>
      </c>
      <c r="F1399" s="91">
        <v>484</v>
      </c>
      <c r="G1399" s="18" t="s">
        <v>1452</v>
      </c>
      <c r="H1399" s="18" t="s">
        <v>906</v>
      </c>
      <c r="I1399" t="s">
        <v>31</v>
      </c>
      <c r="J1399" t="s">
        <v>906</v>
      </c>
      <c r="M1399" s="72" t="s">
        <v>1763</v>
      </c>
      <c r="N1399" s="72" t="s">
        <v>9</v>
      </c>
      <c r="O1399" s="70" t="s">
        <v>1767</v>
      </c>
    </row>
    <row r="1400" spans="1:18" x14ac:dyDescent="0.25">
      <c r="A1400" s="87"/>
      <c r="B1400" s="98"/>
      <c r="C1400" s="95"/>
      <c r="D1400" s="95"/>
      <c r="E1400" s="95"/>
      <c r="F1400" s="92"/>
      <c r="I1400" t="s">
        <v>27</v>
      </c>
      <c r="J1400" t="s">
        <v>860</v>
      </c>
      <c r="M1400" s="83"/>
      <c r="N1400" s="83"/>
      <c r="O1400" s="82"/>
    </row>
    <row r="1401" spans="1:18" x14ac:dyDescent="0.25">
      <c r="A1401" s="87"/>
      <c r="B1401" s="98"/>
      <c r="C1401" s="95"/>
      <c r="D1401" s="95"/>
      <c r="E1401" s="95"/>
      <c r="F1401" s="92"/>
      <c r="I1401" t="s">
        <v>27</v>
      </c>
      <c r="J1401" t="s">
        <v>1759</v>
      </c>
      <c r="M1401" s="83"/>
      <c r="N1401" s="83"/>
      <c r="O1401" s="82"/>
    </row>
    <row r="1402" spans="1:18" x14ac:dyDescent="0.25">
      <c r="A1402" s="87"/>
      <c r="B1402" s="98"/>
      <c r="C1402" s="95"/>
      <c r="D1402" s="95"/>
      <c r="E1402" s="95"/>
      <c r="F1402" s="92"/>
      <c r="J1402" t="s">
        <v>169</v>
      </c>
      <c r="K1402" t="s">
        <v>1766</v>
      </c>
      <c r="M1402" s="83"/>
      <c r="N1402" s="83"/>
      <c r="O1402" s="82"/>
    </row>
    <row r="1403" spans="1:18" x14ac:dyDescent="0.25">
      <c r="A1403" s="87"/>
      <c r="B1403" s="98"/>
      <c r="C1403" s="95"/>
      <c r="D1403" s="95"/>
      <c r="E1403" s="95"/>
      <c r="F1403" s="92"/>
      <c r="J1403" t="s">
        <v>458</v>
      </c>
      <c r="K1403" t="s">
        <v>1761</v>
      </c>
      <c r="M1403" s="83"/>
      <c r="N1403" s="83"/>
      <c r="O1403" s="82"/>
    </row>
    <row r="1404" spans="1:18" s="1" customFormat="1" x14ac:dyDescent="0.25">
      <c r="A1404" s="81"/>
      <c r="B1404" s="99"/>
      <c r="C1404" s="96"/>
      <c r="D1404" s="96"/>
      <c r="E1404" s="96"/>
      <c r="F1404" s="93"/>
      <c r="G1404" s="19"/>
      <c r="H1404" s="19"/>
      <c r="I1404" s="1" t="s">
        <v>27</v>
      </c>
      <c r="J1404" s="1" t="s">
        <v>750</v>
      </c>
      <c r="M1404" s="73"/>
      <c r="N1404" s="73"/>
      <c r="O1404" s="71"/>
      <c r="Q1404" s="42"/>
      <c r="R1404" s="42"/>
    </row>
    <row r="1405" spans="1:18" s="55" customFormat="1" x14ac:dyDescent="0.25">
      <c r="A1405" s="57">
        <f>$A$2+372</f>
        <v>373</v>
      </c>
      <c r="B1405" s="58">
        <v>3</v>
      </c>
      <c r="C1405" s="59">
        <v>11</v>
      </c>
      <c r="D1405" s="59">
        <v>1730</v>
      </c>
      <c r="E1405" s="59">
        <v>481</v>
      </c>
      <c r="F1405" s="60">
        <v>485</v>
      </c>
      <c r="G1405" s="54" t="s">
        <v>1452</v>
      </c>
      <c r="H1405" s="54" t="s">
        <v>1759</v>
      </c>
      <c r="I1405" s="55" t="s">
        <v>103</v>
      </c>
      <c r="J1405" s="55" t="s">
        <v>1759</v>
      </c>
      <c r="M1405" s="15"/>
      <c r="N1405" s="15" t="s">
        <v>84</v>
      </c>
      <c r="O1405" s="61"/>
      <c r="Q1405" s="56"/>
      <c r="R1405" s="56"/>
    </row>
    <row r="1406" spans="1:18" x14ac:dyDescent="0.25">
      <c r="A1406" s="80">
        <f>$A$2+373</f>
        <v>374</v>
      </c>
      <c r="B1406" s="97">
        <v>3</v>
      </c>
      <c r="C1406" s="94">
        <v>11</v>
      </c>
      <c r="D1406" s="94">
        <v>1730</v>
      </c>
      <c r="E1406" s="94">
        <v>481</v>
      </c>
      <c r="F1406" s="91">
        <v>485</v>
      </c>
      <c r="G1406" s="18" t="s">
        <v>1435</v>
      </c>
      <c r="H1406" s="18" t="s">
        <v>1428</v>
      </c>
      <c r="I1406" t="s">
        <v>27</v>
      </c>
      <c r="J1406" t="s">
        <v>1435</v>
      </c>
      <c r="M1406" s="72" t="s">
        <v>206</v>
      </c>
      <c r="N1406" s="72" t="s">
        <v>9</v>
      </c>
      <c r="O1406" s="70" t="s">
        <v>1768</v>
      </c>
    </row>
    <row r="1407" spans="1:18" x14ac:dyDescent="0.25">
      <c r="A1407" s="87"/>
      <c r="B1407" s="98"/>
      <c r="C1407" s="95"/>
      <c r="D1407" s="95"/>
      <c r="E1407" s="95"/>
      <c r="F1407" s="92"/>
      <c r="I1407" t="s">
        <v>339</v>
      </c>
      <c r="J1407" t="s">
        <v>1428</v>
      </c>
      <c r="M1407" s="83"/>
      <c r="N1407" s="83"/>
      <c r="O1407" s="82"/>
    </row>
    <row r="1408" spans="1:18" ht="16.5" customHeight="1" x14ac:dyDescent="0.25">
      <c r="A1408" s="87"/>
      <c r="B1408" s="98"/>
      <c r="C1408" s="95"/>
      <c r="D1408" s="95"/>
      <c r="E1408" s="95"/>
      <c r="F1408" s="92"/>
      <c r="J1408" t="s">
        <v>596</v>
      </c>
      <c r="M1408" s="83"/>
      <c r="N1408" s="83"/>
      <c r="O1408" s="82"/>
    </row>
    <row r="1409" spans="1:18" s="1" customFormat="1" x14ac:dyDescent="0.25">
      <c r="A1409" s="81"/>
      <c r="B1409" s="99"/>
      <c r="C1409" s="96"/>
      <c r="D1409" s="96"/>
      <c r="E1409" s="96"/>
      <c r="F1409" s="93"/>
      <c r="G1409" s="19"/>
      <c r="H1409" s="19"/>
      <c r="J1409" s="1" t="s">
        <v>458</v>
      </c>
      <c r="K1409" s="1" t="s">
        <v>1769</v>
      </c>
      <c r="M1409" s="73"/>
      <c r="N1409" s="73"/>
      <c r="O1409" s="71"/>
      <c r="Q1409" s="42"/>
      <c r="R1409" s="42"/>
    </row>
    <row r="1410" spans="1:18" x14ac:dyDescent="0.25">
      <c r="A1410" s="80">
        <f>$A$2+374</f>
        <v>375</v>
      </c>
      <c r="B1410" s="97">
        <v>22</v>
      </c>
      <c r="C1410" s="94">
        <v>11</v>
      </c>
      <c r="D1410" s="94">
        <v>1730</v>
      </c>
      <c r="E1410" s="94">
        <v>481</v>
      </c>
      <c r="F1410" s="91">
        <v>485</v>
      </c>
      <c r="G1410" s="18" t="s">
        <v>1770</v>
      </c>
      <c r="H1410" s="18" t="s">
        <v>930</v>
      </c>
      <c r="I1410" t="s">
        <v>1540</v>
      </c>
      <c r="J1410" t="s">
        <v>1770</v>
      </c>
      <c r="L1410" t="s">
        <v>1773</v>
      </c>
      <c r="M1410" s="72" t="s">
        <v>13</v>
      </c>
      <c r="N1410" s="72" t="s">
        <v>9</v>
      </c>
      <c r="O1410" s="70" t="s">
        <v>1772</v>
      </c>
    </row>
    <row r="1411" spans="1:18" x14ac:dyDescent="0.25">
      <c r="A1411" s="87"/>
      <c r="B1411" s="98"/>
      <c r="C1411" s="95"/>
      <c r="D1411" s="95"/>
      <c r="E1411" s="95"/>
      <c r="F1411" s="92"/>
      <c r="I1411" t="s">
        <v>27</v>
      </c>
      <c r="J1411" t="s">
        <v>930</v>
      </c>
      <c r="L1411" t="s">
        <v>1773</v>
      </c>
      <c r="M1411" s="83"/>
      <c r="N1411" s="83"/>
      <c r="O1411" s="82"/>
    </row>
    <row r="1412" spans="1:18" s="1" customFormat="1" x14ac:dyDescent="0.25">
      <c r="A1412" s="81"/>
      <c r="B1412" s="99"/>
      <c r="C1412" s="96"/>
      <c r="D1412" s="96"/>
      <c r="E1412" s="96"/>
      <c r="F1412" s="93"/>
      <c r="G1412" s="19"/>
      <c r="H1412" s="19"/>
      <c r="I1412" s="1" t="s">
        <v>31</v>
      </c>
      <c r="J1412" s="1" t="s">
        <v>1771</v>
      </c>
      <c r="M1412" s="73"/>
      <c r="N1412" s="73"/>
      <c r="O1412" s="71"/>
      <c r="Q1412" s="42"/>
      <c r="R1412" s="42"/>
    </row>
    <row r="1413" spans="1:18" x14ac:dyDescent="0.25">
      <c r="A1413" s="80">
        <f>$A$2+375</f>
        <v>376</v>
      </c>
      <c r="B1413" s="97">
        <v>22</v>
      </c>
      <c r="C1413" s="94">
        <v>11</v>
      </c>
      <c r="D1413" s="94">
        <v>1730</v>
      </c>
      <c r="E1413" s="94">
        <v>481</v>
      </c>
      <c r="F1413" s="91">
        <v>485</v>
      </c>
      <c r="G1413" s="18" t="s">
        <v>930</v>
      </c>
      <c r="H1413" s="18" t="s">
        <v>1723</v>
      </c>
      <c r="I1413" t="s">
        <v>1540</v>
      </c>
      <c r="J1413" t="s">
        <v>1770</v>
      </c>
      <c r="M1413" s="72" t="s">
        <v>13</v>
      </c>
      <c r="N1413" s="72" t="s">
        <v>53</v>
      </c>
      <c r="O1413" s="70" t="s">
        <v>1774</v>
      </c>
    </row>
    <row r="1414" spans="1:18" s="1" customFormat="1" x14ac:dyDescent="0.25">
      <c r="A1414" s="81"/>
      <c r="B1414" s="99"/>
      <c r="C1414" s="96"/>
      <c r="D1414" s="96"/>
      <c r="E1414" s="96"/>
      <c r="F1414" s="93"/>
      <c r="G1414" s="19"/>
      <c r="H1414" s="19"/>
      <c r="I1414" s="1" t="s">
        <v>27</v>
      </c>
      <c r="J1414" s="1" t="s">
        <v>930</v>
      </c>
      <c r="M1414" s="73"/>
      <c r="N1414" s="73"/>
      <c r="O1414" s="71"/>
      <c r="Q1414" s="42"/>
      <c r="R1414" s="42"/>
    </row>
    <row r="1415" spans="1:18" s="55" customFormat="1" x14ac:dyDescent="0.25">
      <c r="A1415" s="57">
        <f>$A$2+376</f>
        <v>377</v>
      </c>
      <c r="B1415" s="59">
        <v>22</v>
      </c>
      <c r="C1415" s="59">
        <v>11</v>
      </c>
      <c r="D1415" s="59">
        <v>1730</v>
      </c>
      <c r="E1415" s="59">
        <v>482</v>
      </c>
      <c r="F1415" s="60">
        <v>486</v>
      </c>
      <c r="G1415" s="54"/>
      <c r="H1415" s="54"/>
      <c r="I1415" s="55" t="s">
        <v>27</v>
      </c>
      <c r="J1415" s="55" t="s">
        <v>1089</v>
      </c>
      <c r="M1415" s="15"/>
      <c r="N1415" s="15" t="s">
        <v>266</v>
      </c>
      <c r="O1415" s="61"/>
      <c r="Q1415" s="56"/>
      <c r="R1415" s="56"/>
    </row>
    <row r="1416" spans="1:18" x14ac:dyDescent="0.25">
      <c r="A1416" s="80">
        <f>$A$2+377</f>
        <v>378</v>
      </c>
      <c r="B1416" s="97">
        <v>15</v>
      </c>
      <c r="C1416" s="94">
        <v>1</v>
      </c>
      <c r="D1416" s="94">
        <v>1731</v>
      </c>
      <c r="E1416" s="94">
        <v>482</v>
      </c>
      <c r="F1416" s="91">
        <v>486</v>
      </c>
      <c r="I1416" t="s">
        <v>1131</v>
      </c>
      <c r="J1416" t="s">
        <v>813</v>
      </c>
      <c r="K1416" t="s">
        <v>1775</v>
      </c>
      <c r="M1416" s="72" t="s">
        <v>1699</v>
      </c>
      <c r="N1416" s="72" t="s">
        <v>811</v>
      </c>
      <c r="O1416" s="70" t="s">
        <v>1779</v>
      </c>
    </row>
    <row r="1417" spans="1:18" x14ac:dyDescent="0.25">
      <c r="A1417" s="87"/>
      <c r="B1417" s="98"/>
      <c r="C1417" s="95"/>
      <c r="D1417" s="95"/>
      <c r="E1417" s="95"/>
      <c r="F1417" s="92"/>
      <c r="I1417" t="s">
        <v>103</v>
      </c>
      <c r="J1417" t="s">
        <v>695</v>
      </c>
      <c r="K1417" t="s">
        <v>815</v>
      </c>
      <c r="L1417" t="s">
        <v>1778</v>
      </c>
      <c r="M1417" s="83"/>
      <c r="N1417" s="83"/>
      <c r="O1417" s="82"/>
    </row>
    <row r="1418" spans="1:18" x14ac:dyDescent="0.25">
      <c r="A1418" s="87"/>
      <c r="B1418" s="98"/>
      <c r="C1418" s="95"/>
      <c r="D1418" s="95"/>
      <c r="E1418" s="95"/>
      <c r="F1418" s="92"/>
      <c r="I1418" t="s">
        <v>103</v>
      </c>
      <c r="J1418" t="s">
        <v>761</v>
      </c>
      <c r="K1418" t="s">
        <v>815</v>
      </c>
      <c r="L1418" t="s">
        <v>1778</v>
      </c>
      <c r="M1418" s="83"/>
      <c r="N1418" s="83"/>
      <c r="O1418" s="82"/>
    </row>
    <row r="1419" spans="1:18" x14ac:dyDescent="0.25">
      <c r="A1419" s="87"/>
      <c r="B1419" s="98"/>
      <c r="C1419" s="95"/>
      <c r="D1419" s="95"/>
      <c r="E1419" s="95"/>
      <c r="F1419" s="92"/>
      <c r="I1419" t="s">
        <v>103</v>
      </c>
      <c r="J1419" t="s">
        <v>121</v>
      </c>
      <c r="K1419" t="s">
        <v>815</v>
      </c>
      <c r="L1419" t="s">
        <v>1777</v>
      </c>
      <c r="M1419" s="83"/>
      <c r="N1419" s="83"/>
      <c r="O1419" s="82"/>
    </row>
    <row r="1420" spans="1:18" s="1" customFormat="1" x14ac:dyDescent="0.25">
      <c r="A1420" s="81"/>
      <c r="B1420" s="99"/>
      <c r="C1420" s="96"/>
      <c r="D1420" s="96"/>
      <c r="E1420" s="96"/>
      <c r="F1420" s="93"/>
      <c r="G1420" s="19"/>
      <c r="H1420" s="19"/>
      <c r="I1420" s="1" t="s">
        <v>103</v>
      </c>
      <c r="J1420" s="1" t="s">
        <v>57</v>
      </c>
      <c r="K1420" s="1" t="s">
        <v>815</v>
      </c>
      <c r="L1420" s="1" t="s">
        <v>1776</v>
      </c>
      <c r="M1420" s="73"/>
      <c r="N1420" s="73"/>
      <c r="O1420" s="71"/>
      <c r="Q1420" s="42"/>
      <c r="R1420" s="42"/>
    </row>
    <row r="1421" spans="1:18" x14ac:dyDescent="0.25">
      <c r="A1421" s="80">
        <f>$A$2+378</f>
        <v>379</v>
      </c>
      <c r="B1421" s="97">
        <v>15</v>
      </c>
      <c r="C1421" s="94">
        <v>1</v>
      </c>
      <c r="D1421" s="94">
        <v>1731</v>
      </c>
      <c r="E1421" s="94">
        <v>483</v>
      </c>
      <c r="F1421" s="91">
        <v>487</v>
      </c>
      <c r="J1421" t="s">
        <v>1781</v>
      </c>
      <c r="M1421" s="72" t="s">
        <v>1699</v>
      </c>
      <c r="N1421" s="72" t="s">
        <v>1780</v>
      </c>
      <c r="O1421" s="70" t="s">
        <v>1783</v>
      </c>
    </row>
    <row r="1422" spans="1:18" s="1" customFormat="1" x14ac:dyDescent="0.25">
      <c r="A1422" s="81"/>
      <c r="B1422" s="99"/>
      <c r="C1422" s="96"/>
      <c r="D1422" s="96"/>
      <c r="E1422" s="96"/>
      <c r="F1422" s="93"/>
      <c r="G1422" s="19"/>
      <c r="H1422" s="19"/>
      <c r="J1422" s="1" t="s">
        <v>1782</v>
      </c>
      <c r="M1422" s="73"/>
      <c r="N1422" s="73"/>
      <c r="O1422" s="71"/>
      <c r="Q1422" s="42"/>
      <c r="R1422" s="42"/>
    </row>
    <row r="1423" spans="1:18" x14ac:dyDescent="0.25">
      <c r="A1423" s="80">
        <f>$A$2+379</f>
        <v>380</v>
      </c>
      <c r="B1423" s="97">
        <v>20</v>
      </c>
      <c r="C1423" s="94">
        <v>1</v>
      </c>
      <c r="D1423" s="94">
        <v>1731</v>
      </c>
      <c r="E1423" s="94">
        <v>484</v>
      </c>
      <c r="F1423" s="91">
        <v>488</v>
      </c>
      <c r="I1423" t="s">
        <v>27</v>
      </c>
      <c r="J1423" t="s">
        <v>1785</v>
      </c>
      <c r="K1423" t="s">
        <v>1787</v>
      </c>
      <c r="L1423" t="s">
        <v>1788</v>
      </c>
      <c r="M1423" s="72" t="s">
        <v>523</v>
      </c>
      <c r="N1423" s="72" t="s">
        <v>1784</v>
      </c>
      <c r="O1423" s="70"/>
    </row>
    <row r="1424" spans="1:18" x14ac:dyDescent="0.25">
      <c r="A1424" s="87"/>
      <c r="B1424" s="98"/>
      <c r="C1424" s="95"/>
      <c r="D1424" s="95"/>
      <c r="E1424" s="95"/>
      <c r="F1424" s="92"/>
      <c r="I1424" t="s">
        <v>27</v>
      </c>
      <c r="J1424" t="s">
        <v>844</v>
      </c>
      <c r="K1424" t="s">
        <v>1786</v>
      </c>
      <c r="L1424" t="s">
        <v>1788</v>
      </c>
      <c r="M1424" s="83"/>
      <c r="N1424" s="83"/>
      <c r="O1424" s="82"/>
    </row>
    <row r="1425" spans="1:18" x14ac:dyDescent="0.25">
      <c r="A1425" s="87"/>
      <c r="B1425" s="98"/>
      <c r="C1425" s="95"/>
      <c r="D1425" s="95"/>
      <c r="E1425" s="95"/>
      <c r="F1425" s="92"/>
      <c r="I1425" t="s">
        <v>27</v>
      </c>
      <c r="J1425" t="s">
        <v>1267</v>
      </c>
      <c r="K1425" t="s">
        <v>1789</v>
      </c>
      <c r="L1425" t="s">
        <v>1788</v>
      </c>
      <c r="M1425" s="83"/>
      <c r="N1425" s="83"/>
      <c r="O1425" s="82"/>
    </row>
    <row r="1426" spans="1:18" x14ac:dyDescent="0.25">
      <c r="A1426" s="87"/>
      <c r="B1426" s="98"/>
      <c r="C1426" s="95"/>
      <c r="D1426" s="95"/>
      <c r="E1426" s="95"/>
      <c r="F1426" s="92"/>
      <c r="I1426" t="s">
        <v>27</v>
      </c>
      <c r="J1426" t="s">
        <v>596</v>
      </c>
      <c r="K1426" t="s">
        <v>1790</v>
      </c>
      <c r="L1426" t="s">
        <v>1788</v>
      </c>
      <c r="M1426" s="83"/>
      <c r="N1426" s="83"/>
      <c r="O1426" s="82"/>
    </row>
    <row r="1427" spans="1:18" x14ac:dyDescent="0.25">
      <c r="A1427" s="87"/>
      <c r="B1427" s="98"/>
      <c r="C1427" s="95"/>
      <c r="D1427" s="95"/>
      <c r="E1427" s="95"/>
      <c r="F1427" s="92"/>
      <c r="I1427" t="s">
        <v>27</v>
      </c>
      <c r="J1427" t="s">
        <v>123</v>
      </c>
      <c r="K1427" t="s">
        <v>1791</v>
      </c>
      <c r="L1427" t="s">
        <v>1788</v>
      </c>
      <c r="M1427" s="83"/>
      <c r="N1427" s="83"/>
      <c r="O1427" s="82"/>
    </row>
    <row r="1428" spans="1:18" x14ac:dyDescent="0.25">
      <c r="A1428" s="87"/>
      <c r="B1428" s="98"/>
      <c r="C1428" s="95"/>
      <c r="D1428" s="95"/>
      <c r="E1428" s="95"/>
      <c r="F1428" s="92"/>
      <c r="I1428" t="s">
        <v>27</v>
      </c>
      <c r="J1428" t="s">
        <v>1097</v>
      </c>
      <c r="K1428" t="s">
        <v>1792</v>
      </c>
      <c r="L1428" t="s">
        <v>1788</v>
      </c>
      <c r="M1428" s="83"/>
      <c r="N1428" s="83"/>
      <c r="O1428" s="82"/>
    </row>
    <row r="1429" spans="1:18" x14ac:dyDescent="0.25">
      <c r="A1429" s="87"/>
      <c r="B1429" s="98"/>
      <c r="C1429" s="95"/>
      <c r="D1429" s="95"/>
      <c r="E1429" s="95"/>
      <c r="F1429" s="92"/>
      <c r="I1429" t="s">
        <v>27</v>
      </c>
      <c r="J1429" t="s">
        <v>857</v>
      </c>
      <c r="K1429" t="s">
        <v>1793</v>
      </c>
      <c r="L1429" t="s">
        <v>1788</v>
      </c>
      <c r="M1429" s="83"/>
      <c r="N1429" s="83"/>
      <c r="O1429" s="82"/>
    </row>
    <row r="1430" spans="1:18" x14ac:dyDescent="0.25">
      <c r="A1430" s="87"/>
      <c r="B1430" s="98"/>
      <c r="C1430" s="95"/>
      <c r="D1430" s="95"/>
      <c r="E1430" s="95"/>
      <c r="F1430" s="92"/>
      <c r="I1430" t="s">
        <v>27</v>
      </c>
      <c r="J1430" t="s">
        <v>662</v>
      </c>
      <c r="K1430" t="s">
        <v>1795</v>
      </c>
      <c r="L1430" t="s">
        <v>1794</v>
      </c>
      <c r="M1430" s="83"/>
      <c r="N1430" s="83"/>
      <c r="O1430" s="82"/>
    </row>
    <row r="1431" spans="1:18" x14ac:dyDescent="0.25">
      <c r="A1431" s="87"/>
      <c r="B1431" s="98"/>
      <c r="C1431" s="95"/>
      <c r="D1431" s="95"/>
      <c r="E1431" s="95"/>
      <c r="F1431" s="92"/>
      <c r="I1431" t="s">
        <v>27</v>
      </c>
      <c r="J1431" t="s">
        <v>1796</v>
      </c>
      <c r="K1431" t="s">
        <v>1797</v>
      </c>
      <c r="L1431" t="s">
        <v>1794</v>
      </c>
      <c r="M1431" s="83"/>
      <c r="N1431" s="83"/>
      <c r="O1431" s="82"/>
    </row>
    <row r="1432" spans="1:18" x14ac:dyDescent="0.25">
      <c r="A1432" s="87"/>
      <c r="B1432" s="98"/>
      <c r="C1432" s="95"/>
      <c r="D1432" s="95"/>
      <c r="E1432" s="95"/>
      <c r="F1432" s="92"/>
      <c r="I1432" t="s">
        <v>27</v>
      </c>
      <c r="J1432" t="s">
        <v>1186</v>
      </c>
      <c r="K1432" t="s">
        <v>1798</v>
      </c>
      <c r="L1432" t="s">
        <v>1788</v>
      </c>
      <c r="M1432" s="83"/>
      <c r="N1432" s="83"/>
      <c r="O1432" s="82"/>
    </row>
    <row r="1433" spans="1:18" x14ac:dyDescent="0.25">
      <c r="A1433" s="87"/>
      <c r="B1433" s="98"/>
      <c r="C1433" s="95"/>
      <c r="D1433" s="95"/>
      <c r="E1433" s="95"/>
      <c r="F1433" s="92"/>
      <c r="I1433" t="s">
        <v>27</v>
      </c>
      <c r="J1433" t="s">
        <v>519</v>
      </c>
      <c r="K1433" t="s">
        <v>1799</v>
      </c>
      <c r="L1433" t="s">
        <v>1788</v>
      </c>
      <c r="M1433" s="83"/>
      <c r="N1433" s="83"/>
      <c r="O1433" s="82"/>
    </row>
    <row r="1434" spans="1:18" x14ac:dyDescent="0.25">
      <c r="A1434" s="87"/>
      <c r="B1434" s="98"/>
      <c r="C1434" s="95"/>
      <c r="D1434" s="95"/>
      <c r="E1434" s="95"/>
      <c r="F1434" s="92"/>
      <c r="I1434" t="s">
        <v>27</v>
      </c>
      <c r="J1434" t="s">
        <v>521</v>
      </c>
      <c r="K1434" t="s">
        <v>1800</v>
      </c>
      <c r="L1434" t="s">
        <v>1788</v>
      </c>
      <c r="M1434" s="83"/>
      <c r="N1434" s="83"/>
      <c r="O1434" s="82"/>
    </row>
    <row r="1435" spans="1:18" x14ac:dyDescent="0.25">
      <c r="A1435" s="87"/>
      <c r="B1435" s="98"/>
      <c r="C1435" s="95"/>
      <c r="D1435" s="95"/>
      <c r="E1435" s="95"/>
      <c r="F1435" s="92"/>
      <c r="I1435" t="s">
        <v>27</v>
      </c>
      <c r="J1435" t="s">
        <v>1676</v>
      </c>
      <c r="K1435" t="s">
        <v>1801</v>
      </c>
      <c r="L1435" t="s">
        <v>1788</v>
      </c>
      <c r="M1435" s="83"/>
      <c r="N1435" s="83"/>
      <c r="O1435" s="82"/>
    </row>
    <row r="1436" spans="1:18" s="1" customFormat="1" x14ac:dyDescent="0.25">
      <c r="A1436" s="81"/>
      <c r="B1436" s="99"/>
      <c r="C1436" s="96"/>
      <c r="D1436" s="96"/>
      <c r="E1436" s="96"/>
      <c r="F1436" s="93"/>
      <c r="G1436" s="19"/>
      <c r="H1436" s="19"/>
      <c r="I1436" s="1" t="s">
        <v>27</v>
      </c>
      <c r="J1436" s="1" t="s">
        <v>513</v>
      </c>
      <c r="K1436" s="1" t="s">
        <v>1802</v>
      </c>
      <c r="L1436" s="1" t="s">
        <v>1788</v>
      </c>
      <c r="M1436" s="73"/>
      <c r="N1436" s="73"/>
      <c r="O1436" s="71"/>
      <c r="Q1436" s="42"/>
      <c r="R1436" s="42"/>
    </row>
    <row r="1437" spans="1:18" x14ac:dyDescent="0.25">
      <c r="A1437" s="80">
        <f>$A$2+380</f>
        <v>381</v>
      </c>
      <c r="B1437" s="97">
        <v>12</v>
      </c>
      <c r="C1437" s="94">
        <v>2</v>
      </c>
      <c r="D1437" s="94">
        <v>1731</v>
      </c>
      <c r="E1437" s="94">
        <v>484</v>
      </c>
      <c r="F1437" s="91">
        <v>488</v>
      </c>
      <c r="G1437" s="18" t="s">
        <v>1803</v>
      </c>
      <c r="H1437" s="18" t="s">
        <v>836</v>
      </c>
      <c r="I1437" t="s">
        <v>339</v>
      </c>
      <c r="J1437" t="s">
        <v>1803</v>
      </c>
      <c r="K1437" t="s">
        <v>1804</v>
      </c>
      <c r="M1437" s="72" t="s">
        <v>1694</v>
      </c>
      <c r="N1437" s="72" t="s">
        <v>20</v>
      </c>
      <c r="O1437" s="70" t="s">
        <v>1805</v>
      </c>
    </row>
    <row r="1438" spans="1:18" s="1" customFormat="1" x14ac:dyDescent="0.25">
      <c r="A1438" s="81"/>
      <c r="B1438" s="99"/>
      <c r="C1438" s="96"/>
      <c r="D1438" s="96"/>
      <c r="E1438" s="96"/>
      <c r="F1438" s="93"/>
      <c r="G1438" s="19"/>
      <c r="H1438" s="19"/>
      <c r="I1438" s="1" t="s">
        <v>27</v>
      </c>
      <c r="J1438" s="1" t="s">
        <v>836</v>
      </c>
      <c r="M1438" s="73"/>
      <c r="N1438" s="73"/>
      <c r="O1438" s="71"/>
      <c r="Q1438" s="42"/>
      <c r="R1438" s="42"/>
    </row>
    <row r="1439" spans="1:18" x14ac:dyDescent="0.25">
      <c r="A1439" s="80">
        <f>$A$2+381</f>
        <v>382</v>
      </c>
      <c r="B1439" s="97">
        <v>16</v>
      </c>
      <c r="C1439" s="94">
        <v>2</v>
      </c>
      <c r="D1439" s="94">
        <v>1731</v>
      </c>
      <c r="E1439" s="94">
        <v>485</v>
      </c>
      <c r="F1439" s="91">
        <v>489</v>
      </c>
      <c r="G1439" s="18" t="s">
        <v>1806</v>
      </c>
      <c r="H1439" s="18" t="s">
        <v>1035</v>
      </c>
      <c r="I1439" t="s">
        <v>27</v>
      </c>
      <c r="J1439" t="s">
        <v>1806</v>
      </c>
      <c r="M1439" s="72"/>
      <c r="N1439" s="72" t="s">
        <v>344</v>
      </c>
      <c r="O1439" s="70"/>
    </row>
    <row r="1440" spans="1:18" s="1" customFormat="1" x14ac:dyDescent="0.25">
      <c r="A1440" s="81"/>
      <c r="B1440" s="99"/>
      <c r="C1440" s="96"/>
      <c r="D1440" s="96"/>
      <c r="E1440" s="96"/>
      <c r="F1440" s="93"/>
      <c r="G1440" s="19"/>
      <c r="H1440" s="19"/>
      <c r="I1440" s="1" t="s">
        <v>27</v>
      </c>
      <c r="J1440" s="1" t="s">
        <v>1035</v>
      </c>
      <c r="M1440" s="73"/>
      <c r="N1440" s="73"/>
      <c r="O1440" s="71"/>
      <c r="Q1440" s="42"/>
      <c r="R1440" s="42"/>
    </row>
    <row r="1441" spans="1:18" x14ac:dyDescent="0.25">
      <c r="A1441" s="80">
        <f>$A$2+382</f>
        <v>383</v>
      </c>
      <c r="B1441" s="97">
        <v>20</v>
      </c>
      <c r="C1441" s="94">
        <v>2</v>
      </c>
      <c r="D1441" s="94">
        <v>1731</v>
      </c>
      <c r="E1441" s="94">
        <v>485</v>
      </c>
      <c r="F1441" s="91">
        <v>489</v>
      </c>
      <c r="G1441" s="18" t="s">
        <v>1807</v>
      </c>
      <c r="H1441" s="18" t="s">
        <v>1676</v>
      </c>
      <c r="I1441" t="s">
        <v>27</v>
      </c>
      <c r="J1441" t="s">
        <v>1807</v>
      </c>
      <c r="M1441" s="72" t="s">
        <v>855</v>
      </c>
      <c r="N1441" s="72" t="s">
        <v>20</v>
      </c>
      <c r="O1441" s="70" t="s">
        <v>1815</v>
      </c>
    </row>
    <row r="1442" spans="1:18" x14ac:dyDescent="0.25">
      <c r="A1442" s="87"/>
      <c r="B1442" s="98"/>
      <c r="C1442" s="95"/>
      <c r="D1442" s="95"/>
      <c r="E1442" s="95"/>
      <c r="F1442" s="92"/>
      <c r="G1442" s="18" t="s">
        <v>607</v>
      </c>
      <c r="H1442" s="18" t="s">
        <v>513</v>
      </c>
      <c r="I1442" t="s">
        <v>27</v>
      </c>
      <c r="J1442" t="s">
        <v>607</v>
      </c>
      <c r="K1442" t="s">
        <v>1675</v>
      </c>
      <c r="M1442" s="83"/>
      <c r="N1442" s="83"/>
      <c r="O1442" s="82"/>
    </row>
    <row r="1443" spans="1:18" x14ac:dyDescent="0.25">
      <c r="A1443" s="87"/>
      <c r="B1443" s="98"/>
      <c r="C1443" s="95"/>
      <c r="D1443" s="95"/>
      <c r="E1443" s="95"/>
      <c r="F1443" s="92"/>
      <c r="I1443" t="s">
        <v>27</v>
      </c>
      <c r="J1443" t="s">
        <v>1676</v>
      </c>
      <c r="K1443" t="s">
        <v>1808</v>
      </c>
      <c r="M1443" s="83"/>
      <c r="N1443" s="83"/>
      <c r="O1443" s="82"/>
    </row>
    <row r="1444" spans="1:18" x14ac:dyDescent="0.25">
      <c r="A1444" s="87"/>
      <c r="B1444" s="98"/>
      <c r="C1444" s="95"/>
      <c r="D1444" s="95"/>
      <c r="E1444" s="95"/>
      <c r="F1444" s="92"/>
      <c r="I1444" t="s">
        <v>27</v>
      </c>
      <c r="J1444" t="s">
        <v>513</v>
      </c>
      <c r="K1444" t="s">
        <v>1809</v>
      </c>
      <c r="M1444" s="83"/>
      <c r="N1444" s="83"/>
      <c r="O1444" s="82"/>
    </row>
    <row r="1445" spans="1:18" x14ac:dyDescent="0.25">
      <c r="A1445" s="87"/>
      <c r="B1445" s="98"/>
      <c r="C1445" s="95"/>
      <c r="D1445" s="95"/>
      <c r="E1445" s="95"/>
      <c r="F1445" s="92"/>
      <c r="J1445" t="s">
        <v>1810</v>
      </c>
      <c r="M1445" s="83"/>
      <c r="N1445" s="83"/>
      <c r="O1445" s="82"/>
    </row>
    <row r="1446" spans="1:18" x14ac:dyDescent="0.25">
      <c r="A1446" s="87"/>
      <c r="B1446" s="98"/>
      <c r="C1446" s="95"/>
      <c r="D1446" s="95"/>
      <c r="E1446" s="95"/>
      <c r="F1446" s="92"/>
      <c r="J1446" t="s">
        <v>1811</v>
      </c>
      <c r="L1446" t="s">
        <v>1812</v>
      </c>
      <c r="M1446" s="83"/>
      <c r="N1446" s="83"/>
      <c r="O1446" s="82"/>
    </row>
    <row r="1447" spans="1:18" s="1" customFormat="1" x14ac:dyDescent="0.25">
      <c r="A1447" s="81"/>
      <c r="B1447" s="99"/>
      <c r="C1447" s="96"/>
      <c r="D1447" s="96"/>
      <c r="E1447" s="96"/>
      <c r="F1447" s="93"/>
      <c r="G1447" s="19"/>
      <c r="H1447" s="19"/>
      <c r="J1447" s="1" t="s">
        <v>1813</v>
      </c>
      <c r="M1447" s="73"/>
      <c r="N1447" s="73"/>
      <c r="O1447" s="71"/>
      <c r="P1447" s="1" t="s">
        <v>1814</v>
      </c>
      <c r="Q1447" s="42"/>
      <c r="R1447" s="42"/>
    </row>
    <row r="1448" spans="1:18" x14ac:dyDescent="0.25">
      <c r="A1448" s="80">
        <f>$A$2+383</f>
        <v>384</v>
      </c>
      <c r="B1448" s="97">
        <v>3</v>
      </c>
      <c r="C1448" s="94">
        <v>4</v>
      </c>
      <c r="D1448" s="94">
        <v>1731</v>
      </c>
      <c r="E1448" s="94">
        <v>486</v>
      </c>
      <c r="F1448" s="91">
        <v>490</v>
      </c>
      <c r="G1448" s="18" t="s">
        <v>1720</v>
      </c>
      <c r="H1448" s="18" t="s">
        <v>643</v>
      </c>
      <c r="I1448" t="s">
        <v>103</v>
      </c>
      <c r="J1448" t="s">
        <v>643</v>
      </c>
      <c r="M1448" s="72" t="s">
        <v>13</v>
      </c>
      <c r="N1448" s="72" t="s">
        <v>20</v>
      </c>
      <c r="O1448" s="70" t="s">
        <v>1816</v>
      </c>
    </row>
    <row r="1449" spans="1:18" s="1" customFormat="1" x14ac:dyDescent="0.25">
      <c r="A1449" s="81"/>
      <c r="B1449" s="99"/>
      <c r="C1449" s="96"/>
      <c r="D1449" s="96"/>
      <c r="E1449" s="96"/>
      <c r="F1449" s="93"/>
      <c r="G1449" s="19"/>
      <c r="H1449" s="19"/>
      <c r="I1449" s="1" t="s">
        <v>103</v>
      </c>
      <c r="J1449" s="1" t="s">
        <v>761</v>
      </c>
      <c r="M1449" s="73"/>
      <c r="N1449" s="73"/>
      <c r="O1449" s="71"/>
      <c r="Q1449" s="42"/>
      <c r="R1449" s="42"/>
    </row>
    <row r="1450" spans="1:18" x14ac:dyDescent="0.25">
      <c r="A1450" s="80">
        <f>$A$2+384</f>
        <v>385</v>
      </c>
      <c r="B1450" s="97">
        <v>15</v>
      </c>
      <c r="C1450" s="94">
        <v>4</v>
      </c>
      <c r="D1450" s="94">
        <v>1731</v>
      </c>
      <c r="E1450" s="94">
        <v>486</v>
      </c>
      <c r="F1450" s="91">
        <v>490</v>
      </c>
      <c r="G1450" s="18" t="s">
        <v>895</v>
      </c>
      <c r="H1450" s="18" t="s">
        <v>883</v>
      </c>
      <c r="J1450" t="s">
        <v>895</v>
      </c>
      <c r="M1450" s="72" t="s">
        <v>1817</v>
      </c>
      <c r="N1450" s="72" t="s">
        <v>53</v>
      </c>
      <c r="O1450" s="70" t="s">
        <v>1818</v>
      </c>
    </row>
    <row r="1451" spans="1:18" s="1" customFormat="1" x14ac:dyDescent="0.25">
      <c r="A1451" s="81"/>
      <c r="B1451" s="99"/>
      <c r="C1451" s="96"/>
      <c r="D1451" s="96"/>
      <c r="E1451" s="96"/>
      <c r="F1451" s="93"/>
      <c r="G1451" s="19"/>
      <c r="H1451" s="19"/>
      <c r="J1451" s="1" t="s">
        <v>883</v>
      </c>
      <c r="M1451" s="73"/>
      <c r="N1451" s="73"/>
      <c r="O1451" s="71"/>
      <c r="Q1451" s="42"/>
      <c r="R1451" s="42"/>
    </row>
    <row r="1452" spans="1:18" s="55" customFormat="1" ht="15.75" customHeight="1" x14ac:dyDescent="0.25">
      <c r="A1452" s="57">
        <f>$A$2+385</f>
        <v>386</v>
      </c>
      <c r="B1452" s="58">
        <v>16</v>
      </c>
      <c r="C1452" s="59">
        <v>5</v>
      </c>
      <c r="D1452" s="59">
        <v>1731</v>
      </c>
      <c r="E1452" s="59">
        <v>486</v>
      </c>
      <c r="F1452" s="60">
        <v>490</v>
      </c>
      <c r="G1452" s="54" t="s">
        <v>1623</v>
      </c>
      <c r="H1452" s="54" t="s">
        <v>1819</v>
      </c>
      <c r="I1452" s="55" t="s">
        <v>27</v>
      </c>
      <c r="J1452" s="55" t="s">
        <v>1819</v>
      </c>
      <c r="K1452" s="55" t="s">
        <v>1259</v>
      </c>
      <c r="M1452" s="15" t="s">
        <v>1820</v>
      </c>
      <c r="N1452" s="15" t="s">
        <v>20</v>
      </c>
      <c r="O1452" s="61" t="s">
        <v>1821</v>
      </c>
      <c r="Q1452" s="56"/>
      <c r="R1452" s="56"/>
    </row>
    <row r="1453" spans="1:18" s="63" customFormat="1" x14ac:dyDescent="0.25">
      <c r="A1453" s="57">
        <f>$A$2+386</f>
        <v>387</v>
      </c>
      <c r="B1453" s="64">
        <v>16</v>
      </c>
      <c r="C1453" s="65">
        <v>5</v>
      </c>
      <c r="D1453" s="65">
        <v>1731</v>
      </c>
      <c r="E1453" s="65">
        <v>487</v>
      </c>
      <c r="F1453" s="66">
        <v>491</v>
      </c>
      <c r="G1453" s="62" t="s">
        <v>1623</v>
      </c>
      <c r="H1453" s="62" t="s">
        <v>1819</v>
      </c>
      <c r="J1453" s="63" t="s">
        <v>1822</v>
      </c>
      <c r="M1453" s="48"/>
      <c r="N1453" s="48" t="s">
        <v>84</v>
      </c>
      <c r="O1453" s="67"/>
      <c r="Q1453" s="56"/>
      <c r="R1453" s="56"/>
    </row>
    <row r="1454" spans="1:18" x14ac:dyDescent="0.25">
      <c r="A1454" s="80">
        <f>$A$2+387</f>
        <v>388</v>
      </c>
      <c r="B1454" s="78">
        <v>16</v>
      </c>
      <c r="C1454" s="76">
        <v>5</v>
      </c>
      <c r="D1454" s="76">
        <v>1731</v>
      </c>
      <c r="E1454" s="76">
        <v>487</v>
      </c>
      <c r="F1454" s="74">
        <v>491</v>
      </c>
      <c r="G1454" s="18" t="s">
        <v>246</v>
      </c>
      <c r="H1454" s="18" t="s">
        <v>1819</v>
      </c>
      <c r="I1454" t="s">
        <v>27</v>
      </c>
      <c r="J1454" t="s">
        <v>246</v>
      </c>
      <c r="M1454" s="72" t="s">
        <v>13</v>
      </c>
      <c r="N1454" s="72" t="s">
        <v>20</v>
      </c>
      <c r="O1454" s="70" t="s">
        <v>1823</v>
      </c>
    </row>
    <row r="1455" spans="1:18" s="1" customFormat="1" x14ac:dyDescent="0.25">
      <c r="A1455" s="81"/>
      <c r="B1455" s="79"/>
      <c r="C1455" s="77"/>
      <c r="D1455" s="77"/>
      <c r="E1455" s="77"/>
      <c r="F1455" s="75"/>
      <c r="G1455" s="19"/>
      <c r="H1455" s="19"/>
      <c r="I1455" s="1" t="s">
        <v>27</v>
      </c>
      <c r="J1455" s="1" t="s">
        <v>1819</v>
      </c>
      <c r="M1455" s="73"/>
      <c r="N1455" s="73"/>
      <c r="O1455" s="71"/>
      <c r="Q1455" s="42"/>
      <c r="R1455" s="42"/>
    </row>
    <row r="1456" spans="1:18" x14ac:dyDescent="0.25">
      <c r="A1456" s="80">
        <f>$A$2+388</f>
        <v>389</v>
      </c>
      <c r="B1456" s="78">
        <v>30</v>
      </c>
      <c r="C1456" s="76">
        <v>8</v>
      </c>
      <c r="D1456" s="76">
        <v>1731</v>
      </c>
      <c r="E1456" s="76">
        <v>487</v>
      </c>
      <c r="F1456" s="74">
        <v>491</v>
      </c>
      <c r="G1456" s="18" t="s">
        <v>1824</v>
      </c>
      <c r="H1456" s="18" t="s">
        <v>750</v>
      </c>
      <c r="I1456" t="s">
        <v>27</v>
      </c>
      <c r="J1456" t="s">
        <v>1824</v>
      </c>
      <c r="M1456" s="72" t="s">
        <v>108</v>
      </c>
      <c r="N1456" s="72" t="s">
        <v>177</v>
      </c>
      <c r="O1456" s="70" t="s">
        <v>1825</v>
      </c>
    </row>
    <row r="1457" spans="1:18" s="1" customFormat="1" x14ac:dyDescent="0.25">
      <c r="A1457" s="81"/>
      <c r="B1457" s="79"/>
      <c r="C1457" s="77"/>
      <c r="D1457" s="77"/>
      <c r="E1457" s="77"/>
      <c r="F1457" s="75"/>
      <c r="G1457" s="19"/>
      <c r="H1457" s="19"/>
      <c r="I1457" s="1" t="s">
        <v>27</v>
      </c>
      <c r="J1457" s="1" t="s">
        <v>750</v>
      </c>
      <c r="M1457" s="73"/>
      <c r="N1457" s="73"/>
      <c r="O1457" s="71"/>
      <c r="Q1457" s="42"/>
      <c r="R1457" s="42"/>
    </row>
    <row r="1458" spans="1:18" x14ac:dyDescent="0.25">
      <c r="A1458" s="80">
        <f>$A$2+389</f>
        <v>390</v>
      </c>
      <c r="B1458" s="78">
        <v>5</v>
      </c>
      <c r="C1458" s="76">
        <v>9</v>
      </c>
      <c r="D1458" s="76">
        <v>1731</v>
      </c>
      <c r="E1458" s="76">
        <v>487</v>
      </c>
      <c r="F1458" s="74">
        <v>491</v>
      </c>
      <c r="G1458" s="18" t="s">
        <v>916</v>
      </c>
      <c r="H1458" s="18" t="s">
        <v>51</v>
      </c>
      <c r="I1458" t="s">
        <v>27</v>
      </c>
      <c r="J1458" t="s">
        <v>916</v>
      </c>
      <c r="M1458" s="72" t="s">
        <v>244</v>
      </c>
      <c r="N1458" s="72" t="s">
        <v>9</v>
      </c>
      <c r="O1458" s="70" t="s">
        <v>1832</v>
      </c>
    </row>
    <row r="1459" spans="1:18" x14ac:dyDescent="0.25">
      <c r="A1459" s="87"/>
      <c r="B1459" s="86"/>
      <c r="C1459" s="85"/>
      <c r="D1459" s="85"/>
      <c r="E1459" s="85"/>
      <c r="F1459" s="84"/>
      <c r="I1459" t="s">
        <v>31</v>
      </c>
      <c r="J1459" t="s">
        <v>1826</v>
      </c>
      <c r="L1459" t="s">
        <v>1827</v>
      </c>
      <c r="M1459" s="83"/>
      <c r="N1459" s="83"/>
      <c r="O1459" s="82"/>
    </row>
    <row r="1460" spans="1:18" x14ac:dyDescent="0.25">
      <c r="A1460" s="87"/>
      <c r="B1460" s="86"/>
      <c r="C1460" s="85"/>
      <c r="D1460" s="85"/>
      <c r="E1460" s="85"/>
      <c r="F1460" s="84"/>
      <c r="I1460" t="s">
        <v>27</v>
      </c>
      <c r="J1460" t="s">
        <v>51</v>
      </c>
      <c r="M1460" s="83"/>
      <c r="N1460" s="83"/>
      <c r="O1460" s="82"/>
    </row>
    <row r="1461" spans="1:18" x14ac:dyDescent="0.25">
      <c r="A1461" s="87"/>
      <c r="B1461" s="86"/>
      <c r="C1461" s="85"/>
      <c r="D1461" s="85"/>
      <c r="E1461" s="85"/>
      <c r="F1461" s="84"/>
      <c r="I1461" t="s">
        <v>31</v>
      </c>
      <c r="J1461" t="s">
        <v>1828</v>
      </c>
      <c r="L1461" t="s">
        <v>1829</v>
      </c>
      <c r="M1461" s="83"/>
      <c r="N1461" s="83"/>
      <c r="O1461" s="82"/>
    </row>
    <row r="1462" spans="1:18" x14ac:dyDescent="0.25">
      <c r="A1462" s="87"/>
      <c r="B1462" s="86"/>
      <c r="C1462" s="85"/>
      <c r="D1462" s="85"/>
      <c r="E1462" s="85"/>
      <c r="F1462" s="84"/>
      <c r="I1462" t="s">
        <v>27</v>
      </c>
      <c r="J1462" t="s">
        <v>1104</v>
      </c>
      <c r="M1462" s="83"/>
      <c r="N1462" s="83"/>
      <c r="O1462" s="82"/>
    </row>
    <row r="1463" spans="1:18" s="1" customFormat="1" x14ac:dyDescent="0.25">
      <c r="A1463" s="81"/>
      <c r="B1463" s="79"/>
      <c r="C1463" s="77"/>
      <c r="D1463" s="77"/>
      <c r="E1463" s="77"/>
      <c r="F1463" s="75"/>
      <c r="G1463" s="19"/>
      <c r="H1463" s="19"/>
      <c r="I1463" s="1" t="s">
        <v>29</v>
      </c>
      <c r="J1463" s="1" t="s">
        <v>1830</v>
      </c>
      <c r="M1463" s="73"/>
      <c r="N1463" s="73"/>
      <c r="O1463" s="71"/>
      <c r="P1463" s="1" t="s">
        <v>1831</v>
      </c>
      <c r="Q1463" s="42"/>
      <c r="R1463" s="42"/>
    </row>
    <row r="1464" spans="1:18" x14ac:dyDescent="0.25">
      <c r="A1464" s="80">
        <f>$A$2+390</f>
        <v>391</v>
      </c>
      <c r="B1464" s="78">
        <v>5</v>
      </c>
      <c r="C1464" s="76">
        <v>9</v>
      </c>
      <c r="D1464" s="76">
        <v>1731</v>
      </c>
      <c r="E1464" s="76">
        <v>488</v>
      </c>
      <c r="F1464" s="74">
        <v>492</v>
      </c>
      <c r="G1464" s="18" t="s">
        <v>916</v>
      </c>
      <c r="H1464" s="18" t="s">
        <v>51</v>
      </c>
      <c r="I1464" t="s">
        <v>31</v>
      </c>
      <c r="J1464" t="s">
        <v>51</v>
      </c>
      <c r="M1464" s="72" t="s">
        <v>244</v>
      </c>
      <c r="N1464" s="72" t="s">
        <v>53</v>
      </c>
      <c r="O1464" s="70" t="s">
        <v>1833</v>
      </c>
    </row>
    <row r="1465" spans="1:18" s="1" customFormat="1" x14ac:dyDescent="0.25">
      <c r="A1465" s="81"/>
      <c r="B1465" s="79"/>
      <c r="C1465" s="77"/>
      <c r="D1465" s="77"/>
      <c r="E1465" s="77"/>
      <c r="F1465" s="75"/>
      <c r="G1465" s="19"/>
      <c r="H1465" s="19"/>
      <c r="I1465" s="1" t="s">
        <v>27</v>
      </c>
      <c r="J1465" s="1" t="s">
        <v>916</v>
      </c>
      <c r="M1465" s="73"/>
      <c r="N1465" s="73"/>
      <c r="O1465" s="71"/>
      <c r="Q1465" s="42"/>
      <c r="R1465" s="42"/>
    </row>
    <row r="1466" spans="1:18" s="55" customFormat="1" ht="16.5" customHeight="1" x14ac:dyDescent="0.25">
      <c r="A1466" s="57">
        <f>$A$2+391</f>
        <v>392</v>
      </c>
      <c r="B1466" s="64">
        <v>3</v>
      </c>
      <c r="C1466" s="65">
        <v>10</v>
      </c>
      <c r="D1466" s="65">
        <v>1731</v>
      </c>
      <c r="E1466" s="65">
        <v>488</v>
      </c>
      <c r="F1466" s="66">
        <v>492</v>
      </c>
      <c r="G1466" s="54" t="s">
        <v>1834</v>
      </c>
      <c r="H1466" s="54" t="s">
        <v>961</v>
      </c>
      <c r="I1466" s="55" t="s">
        <v>27</v>
      </c>
      <c r="J1466" s="55" t="s">
        <v>961</v>
      </c>
      <c r="K1466" s="55" t="s">
        <v>1259</v>
      </c>
      <c r="M1466" s="15" t="s">
        <v>1820</v>
      </c>
      <c r="N1466" s="15" t="s">
        <v>20</v>
      </c>
      <c r="O1466" s="61" t="s">
        <v>1835</v>
      </c>
      <c r="Q1466" s="56"/>
      <c r="R1466" s="56"/>
    </row>
    <row r="1467" spans="1:18" x14ac:dyDescent="0.25">
      <c r="A1467" s="80">
        <f>$A$2+392</f>
        <v>393</v>
      </c>
      <c r="B1467" s="78">
        <v>3</v>
      </c>
      <c r="C1467" s="76">
        <v>10</v>
      </c>
      <c r="D1467" s="76">
        <v>1731</v>
      </c>
      <c r="E1467" s="76">
        <v>488</v>
      </c>
      <c r="F1467" s="74">
        <v>492</v>
      </c>
      <c r="G1467" s="18" t="s">
        <v>63</v>
      </c>
      <c r="H1467" s="18" t="s">
        <v>961</v>
      </c>
      <c r="I1467" t="s">
        <v>27</v>
      </c>
      <c r="J1467" t="s">
        <v>63</v>
      </c>
      <c r="M1467" s="72" t="s">
        <v>244</v>
      </c>
      <c r="N1467" s="72" t="s">
        <v>20</v>
      </c>
      <c r="O1467" s="70" t="s">
        <v>1836</v>
      </c>
    </row>
    <row r="1468" spans="1:18" s="1" customFormat="1" x14ac:dyDescent="0.25">
      <c r="A1468" s="81"/>
      <c r="B1468" s="79"/>
      <c r="C1468" s="77"/>
      <c r="D1468" s="77"/>
      <c r="E1468" s="77"/>
      <c r="F1468" s="75"/>
      <c r="G1468" s="19"/>
      <c r="H1468" s="19"/>
      <c r="I1468" s="1" t="s">
        <v>27</v>
      </c>
      <c r="J1468" s="1" t="s">
        <v>961</v>
      </c>
      <c r="M1468" s="73"/>
      <c r="N1468" s="73"/>
      <c r="O1468" s="71"/>
      <c r="Q1468" s="42"/>
      <c r="R1468" s="42"/>
    </row>
    <row r="1469" spans="1:18" x14ac:dyDescent="0.25">
      <c r="A1469" s="80">
        <f>$A$2+393</f>
        <v>394</v>
      </c>
      <c r="B1469" s="78">
        <v>1</v>
      </c>
      <c r="C1469" s="76">
        <v>11</v>
      </c>
      <c r="D1469" s="76">
        <v>1731</v>
      </c>
      <c r="E1469" s="76">
        <v>489</v>
      </c>
      <c r="F1469" s="74">
        <v>493</v>
      </c>
      <c r="G1469" s="18" t="s">
        <v>1837</v>
      </c>
      <c r="H1469" s="18" t="s">
        <v>1845</v>
      </c>
      <c r="I1469" t="s">
        <v>103</v>
      </c>
      <c r="J1469" t="s">
        <v>1837</v>
      </c>
      <c r="K1469" t="s">
        <v>1838</v>
      </c>
      <c r="M1469" s="72" t="s">
        <v>1844</v>
      </c>
      <c r="N1469" s="72" t="s">
        <v>20</v>
      </c>
      <c r="O1469" s="70" t="s">
        <v>1846</v>
      </c>
    </row>
    <row r="1470" spans="1:18" x14ac:dyDescent="0.25">
      <c r="A1470" s="87"/>
      <c r="B1470" s="86"/>
      <c r="C1470" s="85"/>
      <c r="D1470" s="85"/>
      <c r="E1470" s="85"/>
      <c r="F1470" s="84"/>
      <c r="G1470" s="18" t="s">
        <v>1839</v>
      </c>
      <c r="I1470" t="s">
        <v>309</v>
      </c>
      <c r="J1470" t="s">
        <v>1839</v>
      </c>
      <c r="K1470" t="s">
        <v>1840</v>
      </c>
      <c r="M1470" s="83"/>
      <c r="N1470" s="83"/>
      <c r="O1470" s="82"/>
    </row>
    <row r="1471" spans="1:18" x14ac:dyDescent="0.25">
      <c r="A1471" s="87"/>
      <c r="B1471" s="86"/>
      <c r="C1471" s="85"/>
      <c r="D1471" s="85"/>
      <c r="E1471" s="85"/>
      <c r="F1471" s="84"/>
      <c r="G1471" s="18" t="s">
        <v>1841</v>
      </c>
      <c r="I1471" t="s">
        <v>104</v>
      </c>
      <c r="J1471" t="s">
        <v>1841</v>
      </c>
      <c r="M1471" s="83"/>
      <c r="N1471" s="83"/>
      <c r="O1471" s="82"/>
    </row>
    <row r="1472" spans="1:18" s="52" customFormat="1" x14ac:dyDescent="0.25">
      <c r="A1472" s="81"/>
      <c r="B1472" s="79"/>
      <c r="C1472" s="77"/>
      <c r="D1472" s="77"/>
      <c r="E1472" s="77"/>
      <c r="F1472" s="75"/>
      <c r="G1472" s="53"/>
      <c r="H1472" s="53"/>
      <c r="I1472" s="52" t="s">
        <v>339</v>
      </c>
      <c r="J1472" s="52" t="s">
        <v>1845</v>
      </c>
      <c r="K1472" s="52" t="s">
        <v>1842</v>
      </c>
      <c r="M1472" s="73"/>
      <c r="N1472" s="73"/>
      <c r="O1472" s="71"/>
      <c r="Q1472" s="42"/>
      <c r="R1472" s="42"/>
    </row>
    <row r="1473" spans="1:18" x14ac:dyDescent="0.25">
      <c r="A1473" s="80">
        <f>$A$2+394</f>
        <v>395</v>
      </c>
      <c r="B1473" s="78">
        <v>18</v>
      </c>
      <c r="C1473" s="76">
        <v>11</v>
      </c>
      <c r="D1473" s="76">
        <v>1731</v>
      </c>
      <c r="E1473" s="76">
        <v>489</v>
      </c>
      <c r="F1473" s="74">
        <v>493</v>
      </c>
      <c r="G1473" s="18" t="s">
        <v>1847</v>
      </c>
      <c r="H1473" s="18" t="s">
        <v>24</v>
      </c>
      <c r="I1473" t="s">
        <v>104</v>
      </c>
      <c r="J1473" t="s">
        <v>1847</v>
      </c>
      <c r="L1473" t="s">
        <v>1848</v>
      </c>
      <c r="M1473" s="72" t="s">
        <v>13</v>
      </c>
      <c r="N1473" s="72" t="s">
        <v>20</v>
      </c>
      <c r="O1473" s="70" t="s">
        <v>1850</v>
      </c>
    </row>
    <row r="1474" spans="1:18" x14ac:dyDescent="0.25">
      <c r="A1474" s="87"/>
      <c r="B1474" s="86"/>
      <c r="C1474" s="85"/>
      <c r="D1474" s="85"/>
      <c r="E1474" s="85"/>
      <c r="F1474" s="84"/>
      <c r="H1474" s="18" t="s">
        <v>93</v>
      </c>
      <c r="I1474" t="s">
        <v>103</v>
      </c>
      <c r="J1474" t="s">
        <v>24</v>
      </c>
      <c r="K1474" t="s">
        <v>1081</v>
      </c>
      <c r="M1474" s="83"/>
      <c r="N1474" s="83"/>
      <c r="O1474" s="82"/>
    </row>
    <row r="1475" spans="1:18" x14ac:dyDescent="0.25">
      <c r="A1475" s="87"/>
      <c r="B1475" s="86"/>
      <c r="C1475" s="85"/>
      <c r="D1475" s="85"/>
      <c r="E1475" s="85"/>
      <c r="F1475" s="84"/>
      <c r="I1475" t="s">
        <v>27</v>
      </c>
      <c r="J1475" t="s">
        <v>93</v>
      </c>
      <c r="K1475" t="s">
        <v>1849</v>
      </c>
      <c r="M1475" s="83"/>
      <c r="N1475" s="83"/>
      <c r="O1475" s="82"/>
    </row>
    <row r="1476" spans="1:18" x14ac:dyDescent="0.25">
      <c r="A1476" s="87"/>
      <c r="B1476" s="86"/>
      <c r="C1476" s="85"/>
      <c r="D1476" s="85"/>
      <c r="E1476" s="85"/>
      <c r="F1476" s="84"/>
      <c r="I1476" t="s">
        <v>103</v>
      </c>
      <c r="J1476" t="s">
        <v>1837</v>
      </c>
      <c r="K1476" t="s">
        <v>1838</v>
      </c>
      <c r="M1476" s="83"/>
      <c r="N1476" s="83"/>
      <c r="O1476" s="82"/>
    </row>
    <row r="1477" spans="1:18" x14ac:dyDescent="0.25">
      <c r="A1477" s="87"/>
      <c r="B1477" s="86"/>
      <c r="C1477" s="85"/>
      <c r="D1477" s="85"/>
      <c r="E1477" s="85"/>
      <c r="F1477" s="84"/>
      <c r="I1477" t="s">
        <v>309</v>
      </c>
      <c r="J1477" t="s">
        <v>1839</v>
      </c>
      <c r="K1477" t="s">
        <v>1840</v>
      </c>
      <c r="M1477" s="83"/>
      <c r="N1477" s="83"/>
      <c r="O1477" s="82"/>
    </row>
    <row r="1478" spans="1:18" x14ac:dyDescent="0.25">
      <c r="A1478" s="87"/>
      <c r="B1478" s="86"/>
      <c r="C1478" s="85"/>
      <c r="D1478" s="85"/>
      <c r="E1478" s="85"/>
      <c r="F1478" s="84"/>
      <c r="H1478" s="68"/>
      <c r="I1478" s="69" t="s">
        <v>339</v>
      </c>
      <c r="J1478" s="51" t="s">
        <v>1845</v>
      </c>
      <c r="K1478" s="51" t="s">
        <v>1842</v>
      </c>
      <c r="L1478" s="50"/>
      <c r="M1478" s="119"/>
      <c r="N1478" s="83"/>
      <c r="O1478" s="82"/>
    </row>
    <row r="1479" spans="1:18" s="1" customFormat="1" x14ac:dyDescent="0.25">
      <c r="A1479" s="81"/>
      <c r="B1479" s="79"/>
      <c r="C1479" s="77"/>
      <c r="D1479" s="77"/>
      <c r="E1479" s="77"/>
      <c r="F1479" s="75"/>
      <c r="G1479" s="19"/>
      <c r="H1479" s="19"/>
      <c r="J1479" s="1" t="s">
        <v>458</v>
      </c>
      <c r="K1479" s="1" t="s">
        <v>1224</v>
      </c>
      <c r="M1479" s="73"/>
      <c r="N1479" s="73"/>
      <c r="O1479" s="71"/>
      <c r="Q1479" s="42"/>
      <c r="R1479" s="42"/>
    </row>
    <row r="1480" spans="1:18" x14ac:dyDescent="0.25">
      <c r="A1480" s="80">
        <f>$A$2+395</f>
        <v>396</v>
      </c>
      <c r="B1480" s="78">
        <v>27</v>
      </c>
      <c r="C1480" s="76">
        <v>11</v>
      </c>
      <c r="D1480" s="76">
        <v>1731</v>
      </c>
      <c r="E1480" s="76">
        <f>F1480-4</f>
        <v>490</v>
      </c>
      <c r="F1480" s="74">
        <v>494</v>
      </c>
      <c r="G1480" s="18" t="s">
        <v>256</v>
      </c>
      <c r="H1480" s="18" t="s">
        <v>1851</v>
      </c>
      <c r="J1480" t="s">
        <v>256</v>
      </c>
      <c r="M1480" s="72" t="s">
        <v>244</v>
      </c>
      <c r="N1480" s="72" t="s">
        <v>20</v>
      </c>
      <c r="O1480" s="70" t="s">
        <v>1855</v>
      </c>
    </row>
    <row r="1481" spans="1:18" x14ac:dyDescent="0.25">
      <c r="A1481" s="87"/>
      <c r="B1481" s="86"/>
      <c r="C1481" s="85"/>
      <c r="D1481" s="85"/>
      <c r="E1481" s="85"/>
      <c r="F1481" s="84"/>
      <c r="J1481" t="s">
        <v>1854</v>
      </c>
      <c r="L1481" t="s">
        <v>1853</v>
      </c>
      <c r="M1481" s="83"/>
      <c r="N1481" s="83"/>
      <c r="O1481" s="82"/>
    </row>
    <row r="1482" spans="1:18" s="1" customFormat="1" x14ac:dyDescent="0.25">
      <c r="A1482" s="81"/>
      <c r="B1482" s="79"/>
      <c r="C1482" s="77"/>
      <c r="D1482" s="77"/>
      <c r="E1482" s="77"/>
      <c r="F1482" s="75"/>
      <c r="G1482" s="19"/>
      <c r="H1482" s="19"/>
      <c r="I1482" s="1" t="s">
        <v>339</v>
      </c>
      <c r="J1482" s="1" t="s">
        <v>1851</v>
      </c>
      <c r="K1482" s="1" t="s">
        <v>1852</v>
      </c>
      <c r="M1482" s="73"/>
      <c r="N1482" s="73"/>
      <c r="O1482" s="71"/>
      <c r="Q1482" s="42"/>
      <c r="R1482" s="42"/>
    </row>
    <row r="1483" spans="1:18" s="55" customFormat="1" ht="15" customHeight="1" x14ac:dyDescent="0.25">
      <c r="A1483" s="57">
        <f>$A$2+396</f>
        <v>397</v>
      </c>
      <c r="B1483" s="64">
        <v>12</v>
      </c>
      <c r="C1483" s="65">
        <v>12</v>
      </c>
      <c r="D1483" s="65">
        <v>1731</v>
      </c>
      <c r="E1483" s="65">
        <f>F1483-4</f>
        <v>490</v>
      </c>
      <c r="F1483" s="66">
        <v>494</v>
      </c>
      <c r="G1483" s="54" t="s">
        <v>1856</v>
      </c>
      <c r="H1483" s="54" t="s">
        <v>1857</v>
      </c>
      <c r="J1483" s="55" t="s">
        <v>1857</v>
      </c>
      <c r="K1483" s="55" t="s">
        <v>1858</v>
      </c>
      <c r="M1483" s="15" t="s">
        <v>1820</v>
      </c>
      <c r="N1483" s="15" t="s">
        <v>53</v>
      </c>
      <c r="O1483" s="61" t="s">
        <v>1859</v>
      </c>
      <c r="Q1483" s="56"/>
      <c r="R1483" s="56"/>
    </row>
    <row r="1484" spans="1:18" x14ac:dyDescent="0.25">
      <c r="A1484" s="80">
        <f>$A$2+397</f>
        <v>398</v>
      </c>
      <c r="B1484" s="78">
        <v>7</v>
      </c>
      <c r="C1484" s="76">
        <v>12</v>
      </c>
      <c r="D1484" s="76">
        <v>1731</v>
      </c>
      <c r="E1484" s="76">
        <f>F1484-4</f>
        <v>490</v>
      </c>
      <c r="F1484" s="74">
        <v>494</v>
      </c>
      <c r="G1484" s="18" t="s">
        <v>267</v>
      </c>
      <c r="H1484" s="18" t="s">
        <v>1862</v>
      </c>
      <c r="I1484" t="s">
        <v>104</v>
      </c>
      <c r="J1484" t="s">
        <v>267</v>
      </c>
      <c r="L1484" t="s">
        <v>119</v>
      </c>
      <c r="M1484" s="72" t="s">
        <v>1868</v>
      </c>
      <c r="N1484" s="72" t="s">
        <v>53</v>
      </c>
      <c r="O1484" s="70" t="s">
        <v>1867</v>
      </c>
    </row>
    <row r="1485" spans="1:18" x14ac:dyDescent="0.25">
      <c r="A1485" s="87"/>
      <c r="B1485" s="86"/>
      <c r="C1485" s="85"/>
      <c r="D1485" s="85"/>
      <c r="E1485" s="85"/>
      <c r="F1485" s="84"/>
      <c r="G1485" s="18" t="s">
        <v>1860</v>
      </c>
      <c r="I1485" t="s">
        <v>103</v>
      </c>
      <c r="J1485" t="s">
        <v>1860</v>
      </c>
      <c r="L1485" t="s">
        <v>1861</v>
      </c>
      <c r="M1485" s="83"/>
      <c r="N1485" s="83"/>
      <c r="O1485" s="82"/>
    </row>
    <row r="1486" spans="1:18" x14ac:dyDescent="0.25">
      <c r="A1486" s="87"/>
      <c r="B1486" s="86"/>
      <c r="C1486" s="85"/>
      <c r="D1486" s="85"/>
      <c r="E1486" s="85"/>
      <c r="F1486" s="84"/>
      <c r="I1486" t="s">
        <v>339</v>
      </c>
      <c r="J1486" t="s">
        <v>1862</v>
      </c>
      <c r="L1486" t="s">
        <v>1863</v>
      </c>
      <c r="M1486" s="83"/>
      <c r="N1486" s="83"/>
      <c r="O1486" s="82"/>
    </row>
    <row r="1487" spans="1:18" x14ac:dyDescent="0.25">
      <c r="A1487" s="87"/>
      <c r="B1487" s="86"/>
      <c r="C1487" s="85"/>
      <c r="D1487" s="85"/>
      <c r="E1487" s="85"/>
      <c r="F1487" s="84"/>
      <c r="J1487" t="s">
        <v>1864</v>
      </c>
      <c r="M1487" s="83"/>
      <c r="N1487" s="83"/>
      <c r="O1487" s="82"/>
    </row>
    <row r="1488" spans="1:18" s="1" customFormat="1" x14ac:dyDescent="0.25">
      <c r="A1488" s="81"/>
      <c r="B1488" s="79"/>
      <c r="C1488" s="77"/>
      <c r="D1488" s="77"/>
      <c r="E1488" s="77"/>
      <c r="F1488" s="75"/>
      <c r="G1488" s="19"/>
      <c r="H1488" s="19"/>
      <c r="J1488" s="1" t="s">
        <v>1865</v>
      </c>
      <c r="K1488" s="1" t="s">
        <v>459</v>
      </c>
      <c r="M1488" s="73"/>
      <c r="N1488" s="73"/>
      <c r="O1488" s="71"/>
      <c r="P1488" s="1" t="s">
        <v>1866</v>
      </c>
      <c r="Q1488" s="42"/>
      <c r="R1488" s="42"/>
    </row>
    <row r="1489" spans="1:18" s="55" customFormat="1" ht="15" customHeight="1" x14ac:dyDescent="0.25">
      <c r="A1489" s="57">
        <f>$A$2+398</f>
        <v>399</v>
      </c>
      <c r="B1489" s="64">
        <v>7</v>
      </c>
      <c r="C1489" s="65">
        <v>12</v>
      </c>
      <c r="D1489" s="65">
        <v>1731</v>
      </c>
      <c r="E1489" s="65">
        <f>F1489-4</f>
        <v>496</v>
      </c>
      <c r="F1489" s="66">
        <v>500</v>
      </c>
      <c r="G1489" s="54" t="s">
        <v>1869</v>
      </c>
      <c r="H1489" s="54" t="s">
        <v>96</v>
      </c>
      <c r="M1489" s="15" t="s">
        <v>206</v>
      </c>
      <c r="N1489" s="15" t="s">
        <v>53</v>
      </c>
      <c r="O1489" s="61" t="s">
        <v>1870</v>
      </c>
      <c r="Q1489" s="56"/>
      <c r="R1489" s="56"/>
    </row>
    <row r="1490" spans="1:18" x14ac:dyDescent="0.25">
      <c r="A1490" s="80">
        <f>$A$2+399</f>
        <v>400</v>
      </c>
      <c r="B1490" s="78">
        <v>13</v>
      </c>
      <c r="C1490" s="76">
        <v>12</v>
      </c>
      <c r="D1490" s="76">
        <v>1731</v>
      </c>
      <c r="E1490" s="76">
        <f>F1490-4</f>
        <v>496</v>
      </c>
      <c r="F1490" s="74">
        <v>500</v>
      </c>
      <c r="G1490" s="18" t="s">
        <v>1871</v>
      </c>
      <c r="H1490" s="18" t="s">
        <v>93</v>
      </c>
      <c r="I1490" t="s">
        <v>1551</v>
      </c>
      <c r="J1490" t="s">
        <v>1871</v>
      </c>
      <c r="M1490" s="72" t="s">
        <v>13</v>
      </c>
      <c r="N1490" s="72" t="s">
        <v>20</v>
      </c>
      <c r="O1490" s="70" t="s">
        <v>1873</v>
      </c>
      <c r="P1490" t="s">
        <v>1872</v>
      </c>
    </row>
    <row r="1491" spans="1:18" x14ac:dyDescent="0.25">
      <c r="A1491" s="87"/>
      <c r="B1491" s="86"/>
      <c r="C1491" s="85"/>
      <c r="D1491" s="85"/>
      <c r="E1491" s="85"/>
      <c r="F1491" s="84"/>
      <c r="I1491" t="s">
        <v>103</v>
      </c>
      <c r="J1491" t="s">
        <v>93</v>
      </c>
      <c r="K1491" t="s">
        <v>1849</v>
      </c>
      <c r="M1491" s="83"/>
      <c r="N1491" s="83"/>
      <c r="O1491" s="82"/>
    </row>
    <row r="1492" spans="1:18" s="1" customFormat="1" x14ac:dyDescent="0.25">
      <c r="A1492" s="81"/>
      <c r="B1492" s="79"/>
      <c r="C1492" s="77"/>
      <c r="D1492" s="77"/>
      <c r="E1492" s="77"/>
      <c r="F1492" s="75"/>
      <c r="G1492" s="19"/>
      <c r="H1492" s="19"/>
      <c r="J1492" s="1" t="s">
        <v>1389</v>
      </c>
      <c r="K1492" s="1" t="s">
        <v>939</v>
      </c>
      <c r="M1492" s="73"/>
      <c r="N1492" s="73"/>
      <c r="O1492" s="71"/>
      <c r="Q1492" s="42"/>
      <c r="R1492" s="42"/>
    </row>
    <row r="1493" spans="1:18" x14ac:dyDescent="0.25">
      <c r="A1493" s="80">
        <f>$A$2+400</f>
        <v>401</v>
      </c>
      <c r="B1493" s="78">
        <v>2</v>
      </c>
      <c r="C1493" s="76">
        <v>1</v>
      </c>
      <c r="D1493" s="76">
        <v>1732</v>
      </c>
      <c r="E1493" s="76">
        <f>F1493-4</f>
        <v>497</v>
      </c>
      <c r="F1493" s="74">
        <v>501</v>
      </c>
      <c r="I1493" t="s">
        <v>1131</v>
      </c>
      <c r="J1493" t="s">
        <v>1874</v>
      </c>
      <c r="K1493" t="s">
        <v>1775</v>
      </c>
      <c r="M1493" s="72" t="s">
        <v>1699</v>
      </c>
      <c r="N1493" s="72" t="s">
        <v>811</v>
      </c>
      <c r="O1493" s="70"/>
    </row>
    <row r="1494" spans="1:18" x14ac:dyDescent="0.25">
      <c r="A1494" s="87"/>
      <c r="B1494" s="86"/>
      <c r="C1494" s="85"/>
      <c r="D1494" s="85"/>
      <c r="E1494" s="85"/>
      <c r="F1494" s="84"/>
      <c r="I1494" t="s">
        <v>103</v>
      </c>
      <c r="J1494" t="s">
        <v>1875</v>
      </c>
      <c r="K1494" t="s">
        <v>815</v>
      </c>
      <c r="L1494" t="s">
        <v>1778</v>
      </c>
      <c r="M1494" s="83"/>
      <c r="N1494" s="83"/>
      <c r="O1494" s="82"/>
    </row>
    <row r="1495" spans="1:18" x14ac:dyDescent="0.25">
      <c r="A1495" s="87"/>
      <c r="B1495" s="86"/>
      <c r="C1495" s="85"/>
      <c r="D1495" s="85"/>
      <c r="E1495" s="85"/>
      <c r="F1495" s="84"/>
      <c r="I1495" t="s">
        <v>103</v>
      </c>
      <c r="J1495" t="s">
        <v>695</v>
      </c>
      <c r="K1495" t="s">
        <v>815</v>
      </c>
      <c r="L1495" t="s">
        <v>1778</v>
      </c>
      <c r="M1495" s="83"/>
      <c r="N1495" s="83"/>
      <c r="O1495" s="82"/>
    </row>
    <row r="1496" spans="1:18" x14ac:dyDescent="0.25">
      <c r="A1496" s="87"/>
      <c r="B1496" s="86"/>
      <c r="C1496" s="85"/>
      <c r="D1496" s="85"/>
      <c r="E1496" s="85"/>
      <c r="F1496" s="84"/>
      <c r="I1496" t="s">
        <v>103</v>
      </c>
      <c r="J1496" t="s">
        <v>322</v>
      </c>
      <c r="K1496" t="s">
        <v>815</v>
      </c>
      <c r="L1496" t="s">
        <v>1776</v>
      </c>
      <c r="M1496" s="83"/>
      <c r="N1496" s="83"/>
      <c r="O1496" s="82"/>
    </row>
    <row r="1497" spans="1:18" s="1" customFormat="1" x14ac:dyDescent="0.25">
      <c r="A1497" s="81"/>
      <c r="B1497" s="79"/>
      <c r="C1497" s="77"/>
      <c r="D1497" s="77"/>
      <c r="E1497" s="77"/>
      <c r="F1497" s="75"/>
      <c r="G1497" s="19"/>
      <c r="H1497" s="19"/>
      <c r="I1497" s="1" t="s">
        <v>103</v>
      </c>
      <c r="J1497" s="1" t="s">
        <v>1876</v>
      </c>
      <c r="K1497" s="1" t="s">
        <v>815</v>
      </c>
      <c r="L1497" s="1" t="s">
        <v>1777</v>
      </c>
      <c r="M1497" s="73"/>
      <c r="N1497" s="73"/>
      <c r="O1497" s="71"/>
      <c r="Q1497" s="42"/>
      <c r="R1497" s="42"/>
    </row>
    <row r="1498" spans="1:18" x14ac:dyDescent="0.25">
      <c r="A1498" s="80">
        <f>$A$2+401</f>
        <v>402</v>
      </c>
      <c r="B1498" s="78">
        <v>2</v>
      </c>
      <c r="C1498" s="76">
        <v>1</v>
      </c>
      <c r="D1498" s="76">
        <v>1732</v>
      </c>
      <c r="E1498" s="76">
        <f>F1498-4</f>
        <v>497</v>
      </c>
      <c r="F1498" s="74">
        <v>501</v>
      </c>
      <c r="J1498" t="s">
        <v>930</v>
      </c>
      <c r="K1498" t="s">
        <v>932</v>
      </c>
      <c r="M1498" s="72" t="s">
        <v>1699</v>
      </c>
      <c r="N1498" s="72" t="s">
        <v>1780</v>
      </c>
      <c r="O1498" s="70"/>
    </row>
    <row r="1499" spans="1:18" s="1" customFormat="1" x14ac:dyDescent="0.25">
      <c r="A1499" s="81"/>
      <c r="B1499" s="79"/>
      <c r="C1499" s="77"/>
      <c r="D1499" s="77"/>
      <c r="E1499" s="77"/>
      <c r="F1499" s="75"/>
      <c r="G1499" s="19"/>
      <c r="H1499" s="19"/>
      <c r="J1499" s="1" t="s">
        <v>626</v>
      </c>
      <c r="K1499" s="1" t="s">
        <v>932</v>
      </c>
      <c r="M1499" s="73"/>
      <c r="N1499" s="73"/>
      <c r="O1499" s="71"/>
      <c r="Q1499" s="42"/>
      <c r="R1499" s="42"/>
    </row>
    <row r="1500" spans="1:18" s="55" customFormat="1" x14ac:dyDescent="0.25">
      <c r="A1500" s="57">
        <f>$A$2+402</f>
        <v>403</v>
      </c>
      <c r="B1500" s="64">
        <v>2</v>
      </c>
      <c r="C1500" s="65">
        <v>1</v>
      </c>
      <c r="D1500" s="65">
        <v>1732</v>
      </c>
      <c r="E1500" s="65">
        <f>F1500-4</f>
        <v>498</v>
      </c>
      <c r="F1500" s="66">
        <v>502</v>
      </c>
      <c r="G1500" s="54"/>
      <c r="H1500" s="54"/>
      <c r="M1500" s="15" t="s">
        <v>1877</v>
      </c>
      <c r="N1500" s="15" t="s">
        <v>491</v>
      </c>
      <c r="O1500" s="61"/>
      <c r="P1500" s="55" t="s">
        <v>1878</v>
      </c>
      <c r="Q1500" s="56"/>
      <c r="R1500" s="56"/>
    </row>
    <row r="1501" spans="1:18" x14ac:dyDescent="0.25">
      <c r="A1501" s="80">
        <f>$A$2+403</f>
        <v>404</v>
      </c>
      <c r="B1501" s="78">
        <v>8</v>
      </c>
      <c r="C1501" s="76">
        <v>1</v>
      </c>
      <c r="D1501" s="76">
        <v>1732</v>
      </c>
      <c r="E1501" s="76">
        <f>F1501-4</f>
        <v>498</v>
      </c>
      <c r="F1501" s="74">
        <v>502</v>
      </c>
      <c r="G1501" s="18" t="s">
        <v>1452</v>
      </c>
      <c r="H1501" s="18" t="s">
        <v>784</v>
      </c>
      <c r="I1501" t="s">
        <v>27</v>
      </c>
      <c r="J1501" t="s">
        <v>784</v>
      </c>
      <c r="M1501" s="72" t="s">
        <v>108</v>
      </c>
      <c r="N1501" s="72" t="s">
        <v>20</v>
      </c>
      <c r="O1501" s="70" t="s">
        <v>1880</v>
      </c>
    </row>
    <row r="1502" spans="1:18" x14ac:dyDescent="0.25">
      <c r="A1502" s="87"/>
      <c r="B1502" s="86"/>
      <c r="C1502" s="85"/>
      <c r="D1502" s="85"/>
      <c r="E1502" s="85"/>
      <c r="F1502" s="84"/>
      <c r="J1502" t="s">
        <v>458</v>
      </c>
      <c r="K1502" t="s">
        <v>1879</v>
      </c>
      <c r="M1502" s="83"/>
      <c r="N1502" s="83"/>
      <c r="O1502" s="82"/>
    </row>
    <row r="1503" spans="1:18" s="1" customFormat="1" x14ac:dyDescent="0.25">
      <c r="A1503" s="81"/>
      <c r="B1503" s="79"/>
      <c r="C1503" s="77"/>
      <c r="D1503" s="77"/>
      <c r="E1503" s="77"/>
      <c r="F1503" s="75"/>
      <c r="G1503" s="19"/>
      <c r="H1503" s="19"/>
      <c r="J1503" s="1" t="s">
        <v>458</v>
      </c>
      <c r="K1503" s="1" t="s">
        <v>1675</v>
      </c>
      <c r="M1503" s="73"/>
      <c r="N1503" s="73"/>
      <c r="O1503" s="71"/>
      <c r="Q1503" s="42"/>
      <c r="R1503" s="42"/>
    </row>
    <row r="1504" spans="1:18" x14ac:dyDescent="0.25">
      <c r="A1504" s="80">
        <f>$A$2+404</f>
        <v>405</v>
      </c>
      <c r="B1504" s="78">
        <v>8</v>
      </c>
      <c r="C1504" s="76">
        <v>1</v>
      </c>
      <c r="D1504" s="76">
        <v>1732</v>
      </c>
      <c r="E1504" s="76">
        <f>F1504-4</f>
        <v>498</v>
      </c>
      <c r="F1504" s="74">
        <v>502</v>
      </c>
      <c r="G1504" s="18" t="s">
        <v>784</v>
      </c>
      <c r="H1504" s="18" t="s">
        <v>93</v>
      </c>
      <c r="I1504" t="s">
        <v>27</v>
      </c>
      <c r="J1504" t="s">
        <v>784</v>
      </c>
      <c r="M1504" s="72" t="s">
        <v>13</v>
      </c>
      <c r="N1504" s="72" t="s">
        <v>20</v>
      </c>
      <c r="O1504" s="70" t="s">
        <v>1882</v>
      </c>
    </row>
    <row r="1505" spans="1:18" s="1" customFormat="1" x14ac:dyDescent="0.25">
      <c r="A1505" s="81"/>
      <c r="B1505" s="79"/>
      <c r="C1505" s="77"/>
      <c r="D1505" s="77"/>
      <c r="E1505" s="77"/>
      <c r="F1505" s="75"/>
      <c r="G1505" s="19"/>
      <c r="H1505" s="19"/>
      <c r="I1505" s="1" t="s">
        <v>27</v>
      </c>
      <c r="J1505" s="1" t="s">
        <v>93</v>
      </c>
      <c r="K1505" s="1" t="s">
        <v>1881</v>
      </c>
      <c r="M1505" s="73"/>
      <c r="N1505" s="73"/>
      <c r="O1505" s="71"/>
      <c r="Q1505" s="42"/>
      <c r="R1505" s="42"/>
    </row>
    <row r="1506" spans="1:18" x14ac:dyDescent="0.25">
      <c r="A1506" s="80">
        <f>$A$2+405</f>
        <v>406</v>
      </c>
      <c r="B1506" s="78">
        <v>8</v>
      </c>
      <c r="C1506" s="76">
        <v>1</v>
      </c>
      <c r="D1506" s="76">
        <v>1732</v>
      </c>
      <c r="E1506" s="76">
        <f>F1506-4</f>
        <v>499</v>
      </c>
      <c r="F1506" s="74">
        <v>503</v>
      </c>
      <c r="I1506" t="s">
        <v>27</v>
      </c>
      <c r="J1506" t="s">
        <v>797</v>
      </c>
      <c r="M1506" s="72" t="s">
        <v>594</v>
      </c>
      <c r="N1506" s="72" t="s">
        <v>600</v>
      </c>
      <c r="O1506" s="70"/>
    </row>
    <row r="1507" spans="1:18" x14ac:dyDescent="0.25">
      <c r="A1507" s="87"/>
      <c r="B1507" s="86"/>
      <c r="C1507" s="85"/>
      <c r="D1507" s="85"/>
      <c r="E1507" s="85"/>
      <c r="F1507" s="84"/>
      <c r="I1507" t="s">
        <v>103</v>
      </c>
      <c r="J1507" t="s">
        <v>843</v>
      </c>
      <c r="K1507" t="s">
        <v>1670</v>
      </c>
      <c r="M1507" s="83"/>
      <c r="N1507" s="83"/>
      <c r="O1507" s="82"/>
    </row>
    <row r="1508" spans="1:18" x14ac:dyDescent="0.25">
      <c r="A1508" s="87"/>
      <c r="B1508" s="86"/>
      <c r="C1508" s="85"/>
      <c r="D1508" s="85"/>
      <c r="E1508" s="85"/>
      <c r="F1508" s="84"/>
      <c r="I1508" t="s">
        <v>103</v>
      </c>
      <c r="J1508" t="s">
        <v>246</v>
      </c>
      <c r="K1508" t="s">
        <v>587</v>
      </c>
      <c r="M1508" s="83"/>
      <c r="N1508" s="83"/>
      <c r="O1508" s="82"/>
    </row>
    <row r="1509" spans="1:18" x14ac:dyDescent="0.25">
      <c r="A1509" s="87"/>
      <c r="B1509" s="86"/>
      <c r="C1509" s="85"/>
      <c r="D1509" s="85"/>
      <c r="E1509" s="85"/>
      <c r="F1509" s="84"/>
      <c r="I1509" t="s">
        <v>103</v>
      </c>
      <c r="J1509" t="s">
        <v>457</v>
      </c>
      <c r="K1509" t="s">
        <v>1118</v>
      </c>
      <c r="M1509" s="83"/>
      <c r="N1509" s="83"/>
      <c r="O1509" s="82"/>
    </row>
    <row r="1510" spans="1:18" x14ac:dyDescent="0.25">
      <c r="A1510" s="87"/>
      <c r="B1510" s="86"/>
      <c r="C1510" s="85"/>
      <c r="D1510" s="85"/>
      <c r="E1510" s="85"/>
      <c r="F1510" s="84"/>
      <c r="I1510" t="s">
        <v>103</v>
      </c>
      <c r="J1510" t="s">
        <v>588</v>
      </c>
      <c r="K1510" t="s">
        <v>1118</v>
      </c>
      <c r="M1510" s="83"/>
      <c r="N1510" s="83"/>
      <c r="O1510" s="82"/>
    </row>
    <row r="1511" spans="1:18" s="1" customFormat="1" x14ac:dyDescent="0.25">
      <c r="A1511" s="81"/>
      <c r="B1511" s="79"/>
      <c r="C1511" s="77"/>
      <c r="D1511" s="77"/>
      <c r="E1511" s="77"/>
      <c r="F1511" s="75"/>
      <c r="G1511" s="19"/>
      <c r="H1511" s="19"/>
      <c r="I1511" s="1" t="s">
        <v>103</v>
      </c>
      <c r="J1511" s="1" t="s">
        <v>1398</v>
      </c>
      <c r="K1511" s="1" t="s">
        <v>1118</v>
      </c>
      <c r="M1511" s="73"/>
      <c r="N1511" s="73"/>
      <c r="O1511" s="71"/>
      <c r="Q1511" s="42"/>
      <c r="R1511" s="42"/>
    </row>
    <row r="1512" spans="1:18" x14ac:dyDescent="0.25">
      <c r="A1512" s="80">
        <f>$A$2+406</f>
        <v>407</v>
      </c>
      <c r="B1512" s="78">
        <v>9</v>
      </c>
      <c r="C1512" s="76">
        <v>1</v>
      </c>
      <c r="D1512" s="76">
        <v>1732</v>
      </c>
      <c r="E1512" s="76">
        <f>F1512-4</f>
        <v>499</v>
      </c>
      <c r="F1512" s="74">
        <v>503</v>
      </c>
      <c r="I1512" t="s">
        <v>103</v>
      </c>
      <c r="J1512" t="s">
        <v>246</v>
      </c>
      <c r="K1512" t="s">
        <v>956</v>
      </c>
      <c r="L1512" t="s">
        <v>1788</v>
      </c>
      <c r="M1512" s="72" t="s">
        <v>523</v>
      </c>
      <c r="N1512" s="72" t="s">
        <v>1784</v>
      </c>
      <c r="O1512" s="70"/>
    </row>
    <row r="1513" spans="1:18" x14ac:dyDescent="0.25">
      <c r="A1513" s="87"/>
      <c r="B1513" s="86"/>
      <c r="C1513" s="85"/>
      <c r="D1513" s="85"/>
      <c r="E1513" s="85"/>
      <c r="F1513" s="84"/>
      <c r="I1513" t="s">
        <v>103</v>
      </c>
      <c r="J1513" t="s">
        <v>249</v>
      </c>
      <c r="K1513" t="s">
        <v>1883</v>
      </c>
      <c r="L1513" t="s">
        <v>1788</v>
      </c>
      <c r="M1513" s="83"/>
      <c r="N1513" s="83"/>
      <c r="O1513" s="82"/>
    </row>
    <row r="1514" spans="1:18" x14ac:dyDescent="0.25">
      <c r="A1514" s="87"/>
      <c r="B1514" s="86"/>
      <c r="C1514" s="85"/>
      <c r="D1514" s="85"/>
      <c r="E1514" s="85"/>
      <c r="F1514" s="84"/>
      <c r="I1514" t="s">
        <v>27</v>
      </c>
      <c r="J1514" t="s">
        <v>580</v>
      </c>
      <c r="K1514" t="s">
        <v>567</v>
      </c>
      <c r="L1514" t="s">
        <v>1794</v>
      </c>
      <c r="M1514" s="83"/>
      <c r="N1514" s="83"/>
      <c r="O1514" s="82"/>
    </row>
    <row r="1515" spans="1:18" x14ac:dyDescent="0.25">
      <c r="A1515" s="87"/>
      <c r="B1515" s="86"/>
      <c r="C1515" s="85"/>
      <c r="D1515" s="85"/>
      <c r="E1515" s="85"/>
      <c r="F1515" s="84"/>
      <c r="I1515" t="s">
        <v>27</v>
      </c>
      <c r="J1515" t="s">
        <v>1885</v>
      </c>
      <c r="K1515" t="s">
        <v>1884</v>
      </c>
      <c r="L1515" t="s">
        <v>1788</v>
      </c>
      <c r="M1515" s="83"/>
      <c r="N1515" s="83"/>
      <c r="O1515" s="82"/>
    </row>
    <row r="1516" spans="1:18" x14ac:dyDescent="0.25">
      <c r="A1516" s="87"/>
      <c r="B1516" s="86"/>
      <c r="C1516" s="85"/>
      <c r="D1516" s="85"/>
      <c r="E1516" s="85"/>
      <c r="F1516" s="84"/>
      <c r="I1516" t="s">
        <v>27</v>
      </c>
      <c r="J1516" t="s">
        <v>123</v>
      </c>
      <c r="K1516" t="s">
        <v>831</v>
      </c>
      <c r="L1516" t="s">
        <v>1788</v>
      </c>
      <c r="M1516" s="83"/>
      <c r="N1516" s="83"/>
      <c r="O1516" s="82"/>
    </row>
    <row r="1517" spans="1:18" x14ac:dyDescent="0.25">
      <c r="A1517" s="87"/>
      <c r="B1517" s="86"/>
      <c r="C1517" s="85"/>
      <c r="D1517" s="85"/>
      <c r="E1517" s="85"/>
      <c r="F1517" s="84"/>
      <c r="I1517" t="s">
        <v>27</v>
      </c>
      <c r="J1517" t="s">
        <v>1097</v>
      </c>
      <c r="K1517" t="s">
        <v>1886</v>
      </c>
      <c r="L1517" t="s">
        <v>1788</v>
      </c>
      <c r="M1517" s="83"/>
      <c r="N1517" s="83"/>
      <c r="O1517" s="82"/>
    </row>
    <row r="1518" spans="1:18" x14ac:dyDescent="0.25">
      <c r="A1518" s="87"/>
      <c r="B1518" s="86"/>
      <c r="C1518" s="85"/>
      <c r="D1518" s="85"/>
      <c r="E1518" s="85"/>
      <c r="F1518" s="84"/>
      <c r="I1518" t="s">
        <v>27</v>
      </c>
      <c r="J1518" t="s">
        <v>662</v>
      </c>
      <c r="K1518" t="s">
        <v>828</v>
      </c>
      <c r="L1518" t="s">
        <v>1794</v>
      </c>
      <c r="M1518" s="83"/>
      <c r="N1518" s="83"/>
      <c r="O1518" s="82"/>
    </row>
    <row r="1519" spans="1:18" x14ac:dyDescent="0.25">
      <c r="A1519" s="87"/>
      <c r="B1519" s="86"/>
      <c r="C1519" s="85"/>
      <c r="D1519" s="85"/>
      <c r="E1519" s="85"/>
      <c r="F1519" s="84"/>
      <c r="I1519" t="s">
        <v>27</v>
      </c>
      <c r="J1519" t="s">
        <v>1888</v>
      </c>
      <c r="K1519" t="s">
        <v>1887</v>
      </c>
      <c r="L1519" t="s">
        <v>1788</v>
      </c>
      <c r="M1519" s="83"/>
      <c r="N1519" s="83"/>
      <c r="O1519" s="82"/>
    </row>
    <row r="1520" spans="1:18" x14ac:dyDescent="0.25">
      <c r="A1520" s="87"/>
      <c r="B1520" s="86"/>
      <c r="C1520" s="85"/>
      <c r="D1520" s="85"/>
      <c r="E1520" s="85"/>
      <c r="F1520" s="84"/>
      <c r="I1520" t="s">
        <v>27</v>
      </c>
      <c r="J1520" t="s">
        <v>1676</v>
      </c>
      <c r="K1520" t="s">
        <v>1889</v>
      </c>
      <c r="L1520" t="s">
        <v>1788</v>
      </c>
      <c r="M1520" s="83"/>
      <c r="N1520" s="83"/>
      <c r="O1520" s="82"/>
    </row>
    <row r="1521" spans="1:18" x14ac:dyDescent="0.25">
      <c r="A1521" s="87"/>
      <c r="B1521" s="86"/>
      <c r="C1521" s="85"/>
      <c r="D1521" s="85"/>
      <c r="E1521" s="85"/>
      <c r="F1521" s="84"/>
      <c r="I1521" t="s">
        <v>27</v>
      </c>
      <c r="J1521" t="s">
        <v>513</v>
      </c>
      <c r="K1521" t="s">
        <v>1890</v>
      </c>
      <c r="L1521" t="s">
        <v>1788</v>
      </c>
      <c r="M1521" s="83"/>
      <c r="N1521" s="83"/>
      <c r="O1521" s="82"/>
    </row>
    <row r="1522" spans="1:18" x14ac:dyDescent="0.25">
      <c r="A1522" s="87"/>
      <c r="B1522" s="86"/>
      <c r="C1522" s="85"/>
      <c r="D1522" s="85"/>
      <c r="E1522" s="85"/>
      <c r="F1522" s="84"/>
      <c r="I1522" t="s">
        <v>27</v>
      </c>
      <c r="J1522" t="s">
        <v>521</v>
      </c>
      <c r="K1522" t="s">
        <v>829</v>
      </c>
      <c r="L1522" t="s">
        <v>1794</v>
      </c>
      <c r="M1522" s="83"/>
      <c r="N1522" s="83"/>
      <c r="O1522" s="82"/>
    </row>
    <row r="1523" spans="1:18" x14ac:dyDescent="0.25">
      <c r="A1523" s="87"/>
      <c r="B1523" s="86"/>
      <c r="C1523" s="85"/>
      <c r="D1523" s="85"/>
      <c r="E1523" s="85"/>
      <c r="F1523" s="84"/>
      <c r="I1523" t="s">
        <v>27</v>
      </c>
      <c r="J1523" t="s">
        <v>1891</v>
      </c>
      <c r="K1523" t="s">
        <v>1892</v>
      </c>
      <c r="L1523" t="s">
        <v>1794</v>
      </c>
      <c r="M1523" s="83"/>
      <c r="N1523" s="83"/>
      <c r="O1523" s="82"/>
    </row>
    <row r="1524" spans="1:18" x14ac:dyDescent="0.25">
      <c r="A1524" s="87"/>
      <c r="B1524" s="86"/>
      <c r="C1524" s="85"/>
      <c r="D1524" s="85"/>
      <c r="E1524" s="85"/>
      <c r="F1524" s="84"/>
      <c r="I1524" t="s">
        <v>27</v>
      </c>
      <c r="J1524" t="s">
        <v>596</v>
      </c>
      <c r="K1524" t="s">
        <v>1893</v>
      </c>
      <c r="L1524" t="s">
        <v>1794</v>
      </c>
      <c r="M1524" s="83"/>
      <c r="N1524" s="83"/>
      <c r="O1524" s="82"/>
    </row>
    <row r="1525" spans="1:18" s="1" customFormat="1" x14ac:dyDescent="0.25">
      <c r="A1525" s="81"/>
      <c r="B1525" s="79"/>
      <c r="C1525" s="77"/>
      <c r="D1525" s="77"/>
      <c r="E1525" s="77"/>
      <c r="F1525" s="75"/>
      <c r="G1525" s="19"/>
      <c r="H1525" s="19"/>
      <c r="I1525" s="1" t="s">
        <v>27</v>
      </c>
      <c r="J1525" s="1" t="s">
        <v>179</v>
      </c>
      <c r="K1525" s="1" t="s">
        <v>1894</v>
      </c>
      <c r="L1525" s="1" t="s">
        <v>1788</v>
      </c>
      <c r="M1525" s="73"/>
      <c r="N1525" s="73"/>
      <c r="O1525" s="71"/>
      <c r="Q1525" s="42"/>
      <c r="R1525" s="42"/>
    </row>
    <row r="1526" spans="1:18" x14ac:dyDescent="0.25">
      <c r="A1526" s="80">
        <f>$A$2+407</f>
        <v>408</v>
      </c>
      <c r="B1526" s="78">
        <v>10</v>
      </c>
      <c r="C1526" s="76">
        <v>1</v>
      </c>
      <c r="D1526" s="76">
        <v>1732</v>
      </c>
      <c r="E1526" s="76">
        <f>F1526-4</f>
        <v>500</v>
      </c>
      <c r="F1526" s="74">
        <v>504</v>
      </c>
      <c r="G1526" s="18" t="s">
        <v>1895</v>
      </c>
      <c r="H1526" s="18" t="s">
        <v>1843</v>
      </c>
      <c r="J1526" t="s">
        <v>1895</v>
      </c>
      <c r="L1526" t="s">
        <v>1896</v>
      </c>
      <c r="M1526" s="72" t="s">
        <v>244</v>
      </c>
      <c r="N1526" s="72" t="s">
        <v>53</v>
      </c>
      <c r="O1526" s="70" t="s">
        <v>1898</v>
      </c>
    </row>
    <row r="1527" spans="1:18" x14ac:dyDescent="0.25">
      <c r="A1527" s="87"/>
      <c r="B1527" s="86"/>
      <c r="C1527" s="85"/>
      <c r="D1527" s="85"/>
      <c r="E1527" s="85"/>
      <c r="F1527" s="84"/>
      <c r="H1527" s="18" t="s">
        <v>1897</v>
      </c>
      <c r="I1527" t="s">
        <v>339</v>
      </c>
      <c r="J1527" t="s">
        <v>1843</v>
      </c>
      <c r="K1527" t="s">
        <v>279</v>
      </c>
      <c r="M1527" s="83"/>
      <c r="N1527" s="83"/>
      <c r="O1527" s="82"/>
    </row>
    <row r="1528" spans="1:18" s="1" customFormat="1" x14ac:dyDescent="0.25">
      <c r="A1528" s="81"/>
      <c r="B1528" s="79"/>
      <c r="C1528" s="77"/>
      <c r="D1528" s="77"/>
      <c r="E1528" s="77"/>
      <c r="F1528" s="75"/>
      <c r="G1528" s="19"/>
      <c r="H1528" s="19"/>
      <c r="I1528" s="1" t="s">
        <v>339</v>
      </c>
      <c r="J1528" s="1" t="s">
        <v>1897</v>
      </c>
      <c r="K1528" s="1" t="s">
        <v>279</v>
      </c>
      <c r="M1528" s="73"/>
      <c r="N1528" s="73"/>
      <c r="O1528" s="71"/>
      <c r="Q1528" s="42"/>
      <c r="R1528" s="42"/>
    </row>
    <row r="1529" spans="1:18" x14ac:dyDescent="0.25">
      <c r="A1529" s="80">
        <f>$A$2+408</f>
        <v>409</v>
      </c>
      <c r="B1529" s="78">
        <v>2</v>
      </c>
      <c r="C1529" s="76">
        <v>5</v>
      </c>
      <c r="D1529" s="76">
        <v>1732</v>
      </c>
      <c r="E1529" s="76">
        <f>F1529-4</f>
        <v>500</v>
      </c>
      <c r="F1529" s="74">
        <v>504</v>
      </c>
      <c r="G1529" s="18" t="s">
        <v>588</v>
      </c>
      <c r="H1529" s="18" t="s">
        <v>1899</v>
      </c>
      <c r="I1529" t="s">
        <v>103</v>
      </c>
      <c r="J1529" t="s">
        <v>588</v>
      </c>
      <c r="M1529" s="72" t="s">
        <v>244</v>
      </c>
      <c r="N1529" s="72" t="s">
        <v>20</v>
      </c>
      <c r="O1529" s="70" t="s">
        <v>1903</v>
      </c>
    </row>
    <row r="1530" spans="1:18" x14ac:dyDescent="0.25">
      <c r="A1530" s="87"/>
      <c r="B1530" s="86"/>
      <c r="C1530" s="85"/>
      <c r="D1530" s="85"/>
      <c r="E1530" s="85"/>
      <c r="F1530" s="84"/>
      <c r="J1530" t="s">
        <v>1899</v>
      </c>
      <c r="M1530" s="83"/>
      <c r="N1530" s="83"/>
      <c r="O1530" s="82"/>
    </row>
    <row r="1531" spans="1:18" x14ac:dyDescent="0.25">
      <c r="A1531" s="87"/>
      <c r="B1531" s="86"/>
      <c r="C1531" s="85"/>
      <c r="D1531" s="85"/>
      <c r="E1531" s="85"/>
      <c r="F1531" s="84"/>
      <c r="I1531" t="s">
        <v>27</v>
      </c>
      <c r="J1531" t="s">
        <v>1900</v>
      </c>
      <c r="K1531" t="s">
        <v>1901</v>
      </c>
      <c r="M1531" s="83"/>
      <c r="N1531" s="83"/>
      <c r="O1531" s="82"/>
    </row>
    <row r="1532" spans="1:18" s="1" customFormat="1" x14ac:dyDescent="0.25">
      <c r="A1532" s="81"/>
      <c r="B1532" s="79"/>
      <c r="C1532" s="77"/>
      <c r="D1532" s="77"/>
      <c r="E1532" s="77"/>
      <c r="F1532" s="75"/>
      <c r="G1532" s="19"/>
      <c r="H1532" s="19"/>
      <c r="I1532" s="1" t="s">
        <v>27</v>
      </c>
      <c r="J1532" s="1" t="s">
        <v>1902</v>
      </c>
      <c r="M1532" s="73"/>
      <c r="N1532" s="73"/>
      <c r="O1532" s="71"/>
      <c r="Q1532" s="42"/>
      <c r="R1532" s="42"/>
    </row>
    <row r="1533" spans="1:18" x14ac:dyDescent="0.25">
      <c r="A1533" s="80">
        <f>$A$2+409</f>
        <v>410</v>
      </c>
      <c r="B1533" s="78">
        <v>11</v>
      </c>
      <c r="C1533" s="76">
        <v>6</v>
      </c>
      <c r="D1533" s="76">
        <v>1732</v>
      </c>
      <c r="E1533" s="76">
        <f>F1533-4</f>
        <v>501</v>
      </c>
      <c r="F1533" s="74">
        <v>505</v>
      </c>
      <c r="G1533" s="18" t="s">
        <v>1856</v>
      </c>
      <c r="H1533" s="18" t="s">
        <v>1904</v>
      </c>
      <c r="J1533" t="s">
        <v>1904</v>
      </c>
      <c r="M1533" s="72" t="s">
        <v>1820</v>
      </c>
      <c r="N1533" s="72" t="s">
        <v>53</v>
      </c>
      <c r="O1533" s="70" t="s">
        <v>1906</v>
      </c>
    </row>
    <row r="1534" spans="1:18" s="1" customFormat="1" x14ac:dyDescent="0.25">
      <c r="A1534" s="81"/>
      <c r="B1534" s="79"/>
      <c r="C1534" s="77"/>
      <c r="D1534" s="77"/>
      <c r="E1534" s="77"/>
      <c r="F1534" s="75"/>
      <c r="G1534" s="19"/>
      <c r="H1534" s="19" t="s">
        <v>1725</v>
      </c>
      <c r="J1534" s="1" t="s">
        <v>1725</v>
      </c>
      <c r="L1534" s="1" t="s">
        <v>1905</v>
      </c>
      <c r="M1534" s="73"/>
      <c r="N1534" s="73"/>
      <c r="O1534" s="71"/>
      <c r="Q1534" s="42"/>
      <c r="R1534" s="42"/>
    </row>
    <row r="1535" spans="1:18" x14ac:dyDescent="0.25">
      <c r="A1535" s="80">
        <f>$A$2+410</f>
        <v>411</v>
      </c>
      <c r="B1535" s="78">
        <v>20</v>
      </c>
      <c r="C1535" s="76">
        <v>6</v>
      </c>
      <c r="D1535" s="76">
        <v>1732</v>
      </c>
      <c r="E1535" s="76">
        <f>F1535-4</f>
        <v>501</v>
      </c>
      <c r="F1535" s="74">
        <v>505</v>
      </c>
      <c r="G1535" s="18" t="s">
        <v>1908</v>
      </c>
      <c r="H1535" s="18" t="s">
        <v>99</v>
      </c>
      <c r="I1535" t="s">
        <v>31</v>
      </c>
      <c r="J1535" t="s">
        <v>99</v>
      </c>
      <c r="L1535" t="s">
        <v>229</v>
      </c>
      <c r="M1535" s="72" t="s">
        <v>13</v>
      </c>
      <c r="N1535" s="72" t="s">
        <v>9</v>
      </c>
      <c r="O1535" s="70" t="s">
        <v>1910</v>
      </c>
    </row>
    <row r="1536" spans="1:18" x14ac:dyDescent="0.25">
      <c r="A1536" s="87"/>
      <c r="B1536" s="86"/>
      <c r="C1536" s="85"/>
      <c r="D1536" s="85"/>
      <c r="E1536" s="85"/>
      <c r="F1536" s="84"/>
      <c r="I1536" t="s">
        <v>27</v>
      </c>
      <c r="J1536" t="s">
        <v>1909</v>
      </c>
      <c r="M1536" s="83"/>
      <c r="N1536" s="83"/>
      <c r="O1536" s="82"/>
    </row>
    <row r="1537" spans="1:18" x14ac:dyDescent="0.25">
      <c r="A1537" s="87"/>
      <c r="B1537" s="86"/>
      <c r="C1537" s="85"/>
      <c r="D1537" s="85"/>
      <c r="E1537" s="85"/>
      <c r="F1537" s="84"/>
      <c r="J1537" t="s">
        <v>1907</v>
      </c>
      <c r="M1537" s="83"/>
      <c r="N1537" s="83"/>
      <c r="O1537" s="82"/>
    </row>
    <row r="1538" spans="1:18" x14ac:dyDescent="0.25">
      <c r="A1538" s="87"/>
      <c r="B1538" s="86"/>
      <c r="C1538" s="85"/>
      <c r="D1538" s="85"/>
      <c r="E1538" s="85"/>
      <c r="F1538" s="84"/>
      <c r="J1538" t="s">
        <v>1908</v>
      </c>
      <c r="M1538" s="83"/>
      <c r="N1538" s="83"/>
      <c r="O1538" s="82"/>
    </row>
    <row r="1539" spans="1:18" s="1" customFormat="1" x14ac:dyDescent="0.25">
      <c r="A1539" s="81"/>
      <c r="B1539" s="79"/>
      <c r="C1539" s="77"/>
      <c r="D1539" s="77"/>
      <c r="E1539" s="77"/>
      <c r="F1539" s="75"/>
      <c r="G1539" s="19"/>
      <c r="H1539" s="19"/>
      <c r="J1539" s="1" t="s">
        <v>249</v>
      </c>
      <c r="M1539" s="73"/>
      <c r="N1539" s="73"/>
      <c r="O1539" s="71"/>
      <c r="Q1539" s="42"/>
      <c r="R1539" s="42"/>
    </row>
    <row r="1540" spans="1:18" s="55" customFormat="1" x14ac:dyDescent="0.25">
      <c r="A1540" s="57">
        <f>$A$2+411</f>
        <v>412</v>
      </c>
      <c r="B1540" s="64">
        <v>20</v>
      </c>
      <c r="C1540" s="65">
        <v>6</v>
      </c>
      <c r="D1540" s="65">
        <v>1732</v>
      </c>
      <c r="E1540" s="65">
        <f>F1540-4</f>
        <v>501</v>
      </c>
      <c r="F1540" s="66">
        <v>505</v>
      </c>
      <c r="G1540" s="54"/>
      <c r="H1540" s="54"/>
      <c r="J1540" s="55" t="s">
        <v>1908</v>
      </c>
      <c r="M1540" s="15"/>
      <c r="N1540" s="15" t="s">
        <v>84</v>
      </c>
      <c r="O1540" s="61"/>
      <c r="Q1540" s="56"/>
      <c r="R1540" s="56"/>
    </row>
    <row r="1541" spans="1:18" x14ac:dyDescent="0.25">
      <c r="A1541" s="80">
        <f>$A$2+412</f>
        <v>413</v>
      </c>
      <c r="B1541" s="78">
        <v>8</v>
      </c>
      <c r="C1541" s="76">
        <v>7</v>
      </c>
      <c r="D1541" s="76">
        <v>1732</v>
      </c>
      <c r="E1541" s="76">
        <f>F1541-4</f>
        <v>502</v>
      </c>
      <c r="F1541" s="74">
        <v>506</v>
      </c>
      <c r="G1541" s="18" t="s">
        <v>750</v>
      </c>
      <c r="H1541" s="18" t="s">
        <v>1911</v>
      </c>
      <c r="I1541" t="s">
        <v>27</v>
      </c>
      <c r="J1541" t="s">
        <v>750</v>
      </c>
      <c r="M1541" s="72" t="s">
        <v>244</v>
      </c>
      <c r="N1541" s="72" t="s">
        <v>53</v>
      </c>
      <c r="O1541" s="70" t="s">
        <v>1913</v>
      </c>
      <c r="P1541" t="s">
        <v>1912</v>
      </c>
    </row>
    <row r="1542" spans="1:18" s="1" customFormat="1" x14ac:dyDescent="0.25">
      <c r="A1542" s="81"/>
      <c r="B1542" s="79"/>
      <c r="C1542" s="77"/>
      <c r="D1542" s="77"/>
      <c r="E1542" s="77"/>
      <c r="F1542" s="75"/>
      <c r="G1542" s="19"/>
      <c r="H1542" s="19"/>
      <c r="I1542" s="1" t="s">
        <v>27</v>
      </c>
      <c r="J1542" s="1" t="s">
        <v>1911</v>
      </c>
      <c r="M1542" s="73"/>
      <c r="N1542" s="73"/>
      <c r="O1542" s="71"/>
      <c r="Q1542" s="42"/>
      <c r="R1542" s="42"/>
    </row>
    <row r="1543" spans="1:18" x14ac:dyDescent="0.25">
      <c r="A1543" s="80">
        <f>$A$2+413</f>
        <v>414</v>
      </c>
      <c r="B1543" s="78">
        <v>31</v>
      </c>
      <c r="C1543" s="76">
        <v>7</v>
      </c>
      <c r="D1543" s="76">
        <v>1732</v>
      </c>
      <c r="E1543" s="76">
        <f>F1543-4</f>
        <v>502</v>
      </c>
      <c r="F1543" s="74">
        <v>506</v>
      </c>
      <c r="G1543" s="18" t="s">
        <v>1720</v>
      </c>
      <c r="H1543" s="18" t="s">
        <v>1914</v>
      </c>
      <c r="I1543" t="s">
        <v>27</v>
      </c>
      <c r="J1543" t="s">
        <v>1914</v>
      </c>
      <c r="M1543" s="72" t="s">
        <v>159</v>
      </c>
      <c r="N1543" s="72" t="s">
        <v>20</v>
      </c>
      <c r="O1543" s="70" t="s">
        <v>1919</v>
      </c>
    </row>
    <row r="1544" spans="1:18" x14ac:dyDescent="0.25">
      <c r="A1544" s="87"/>
      <c r="B1544" s="86"/>
      <c r="C1544" s="85"/>
      <c r="D1544" s="85"/>
      <c r="E1544" s="85"/>
      <c r="F1544" s="84"/>
      <c r="I1544" t="s">
        <v>103</v>
      </c>
      <c r="J1544" t="s">
        <v>458</v>
      </c>
      <c r="K1544" t="s">
        <v>1224</v>
      </c>
      <c r="M1544" s="83"/>
      <c r="N1544" s="83"/>
      <c r="O1544" s="82"/>
      <c r="P1544" t="s">
        <v>1918</v>
      </c>
    </row>
    <row r="1545" spans="1:18" x14ac:dyDescent="0.25">
      <c r="A1545" s="87"/>
      <c r="B1545" s="86"/>
      <c r="C1545" s="85"/>
      <c r="D1545" s="85"/>
      <c r="E1545" s="85"/>
      <c r="F1545" s="84"/>
      <c r="J1545" t="s">
        <v>1915</v>
      </c>
      <c r="M1545" s="83"/>
      <c r="N1545" s="83"/>
      <c r="O1545" s="82"/>
    </row>
    <row r="1546" spans="1:18" x14ac:dyDescent="0.25">
      <c r="A1546" s="87"/>
      <c r="B1546" s="86"/>
      <c r="C1546" s="85"/>
      <c r="D1546" s="85"/>
      <c r="E1546" s="85"/>
      <c r="F1546" s="84"/>
      <c r="J1546" t="s">
        <v>1759</v>
      </c>
      <c r="M1546" s="83"/>
      <c r="N1546" s="83"/>
      <c r="O1546" s="82"/>
    </row>
    <row r="1547" spans="1:18" x14ac:dyDescent="0.25">
      <c r="A1547" s="87"/>
      <c r="B1547" s="86"/>
      <c r="C1547" s="85"/>
      <c r="D1547" s="85"/>
      <c r="E1547" s="85"/>
      <c r="F1547" s="84"/>
      <c r="J1547" t="s">
        <v>1916</v>
      </c>
      <c r="M1547" s="83"/>
      <c r="N1547" s="83"/>
      <c r="O1547" s="82"/>
    </row>
    <row r="1548" spans="1:18" x14ac:dyDescent="0.25">
      <c r="A1548" s="87"/>
      <c r="B1548" s="86"/>
      <c r="C1548" s="85"/>
      <c r="D1548" s="85"/>
      <c r="E1548" s="85"/>
      <c r="F1548" s="84"/>
      <c r="J1548" t="s">
        <v>1917</v>
      </c>
      <c r="M1548" s="83"/>
      <c r="N1548" s="83"/>
      <c r="O1548" s="82"/>
    </row>
    <row r="1549" spans="1:18" s="1" customFormat="1" x14ac:dyDescent="0.25">
      <c r="A1549" s="81"/>
      <c r="B1549" s="79"/>
      <c r="C1549" s="77"/>
      <c r="D1549" s="77"/>
      <c r="E1549" s="77"/>
      <c r="F1549" s="75"/>
      <c r="G1549" s="19"/>
      <c r="H1549" s="19"/>
      <c r="J1549" s="1" t="s">
        <v>12</v>
      </c>
      <c r="M1549" s="73"/>
      <c r="N1549" s="73"/>
      <c r="O1549" s="71"/>
      <c r="Q1549" s="42"/>
      <c r="R1549" s="42"/>
    </row>
    <row r="1550" spans="1:18" x14ac:dyDescent="0.25">
      <c r="A1550" s="80">
        <f>$A$2+414</f>
        <v>415</v>
      </c>
      <c r="B1550" s="78">
        <v>2</v>
      </c>
      <c r="C1550" s="76">
        <v>8</v>
      </c>
      <c r="D1550" s="76">
        <v>1732</v>
      </c>
      <c r="E1550" s="76">
        <f>F1550-4</f>
        <v>503</v>
      </c>
      <c r="F1550" s="74">
        <v>507</v>
      </c>
      <c r="G1550" s="18" t="s">
        <v>643</v>
      </c>
      <c r="H1550" s="18" t="s">
        <v>93</v>
      </c>
      <c r="I1550" t="s">
        <v>103</v>
      </c>
      <c r="J1550" t="s">
        <v>643</v>
      </c>
      <c r="M1550" s="72" t="s">
        <v>1487</v>
      </c>
      <c r="N1550" s="72" t="s">
        <v>20</v>
      </c>
      <c r="O1550" s="70" t="s">
        <v>1923</v>
      </c>
    </row>
    <row r="1551" spans="1:18" x14ac:dyDescent="0.25">
      <c r="A1551" s="87"/>
      <c r="B1551" s="86"/>
      <c r="C1551" s="85"/>
      <c r="D1551" s="85"/>
      <c r="E1551" s="85"/>
      <c r="F1551" s="84"/>
      <c r="I1551" t="s">
        <v>104</v>
      </c>
      <c r="J1551" t="s">
        <v>1049</v>
      </c>
      <c r="L1551" t="s">
        <v>1920</v>
      </c>
      <c r="M1551" s="83"/>
      <c r="N1551" s="83"/>
      <c r="O1551" s="82"/>
    </row>
    <row r="1552" spans="1:18" x14ac:dyDescent="0.25">
      <c r="A1552" s="87"/>
      <c r="B1552" s="86"/>
      <c r="C1552" s="85"/>
      <c r="D1552" s="85"/>
      <c r="E1552" s="85"/>
      <c r="F1552" s="84"/>
      <c r="I1552" t="s">
        <v>27</v>
      </c>
      <c r="J1552" t="s">
        <v>93</v>
      </c>
      <c r="M1552" s="83"/>
      <c r="N1552" s="83"/>
      <c r="O1552" s="82"/>
    </row>
    <row r="1553" spans="1:18" x14ac:dyDescent="0.25">
      <c r="A1553" s="87"/>
      <c r="B1553" s="86"/>
      <c r="C1553" s="85"/>
      <c r="D1553" s="85"/>
      <c r="E1553" s="85"/>
      <c r="F1553" s="84"/>
      <c r="I1553" t="s">
        <v>31</v>
      </c>
      <c r="J1553" t="s">
        <v>1628</v>
      </c>
      <c r="L1553" t="s">
        <v>1921</v>
      </c>
      <c r="M1553" s="83"/>
      <c r="N1553" s="83"/>
      <c r="O1553" s="82"/>
    </row>
    <row r="1554" spans="1:18" x14ac:dyDescent="0.25">
      <c r="A1554" s="87"/>
      <c r="B1554" s="86"/>
      <c r="C1554" s="85"/>
      <c r="D1554" s="85"/>
      <c r="E1554" s="85"/>
      <c r="F1554" s="84"/>
      <c r="I1554" t="s">
        <v>103</v>
      </c>
      <c r="J1554" t="s">
        <v>322</v>
      </c>
      <c r="M1554" s="83"/>
      <c r="N1554" s="83"/>
      <c r="O1554" s="82"/>
    </row>
    <row r="1555" spans="1:18" s="1" customFormat="1" x14ac:dyDescent="0.25">
      <c r="A1555" s="81"/>
      <c r="B1555" s="79"/>
      <c r="C1555" s="77"/>
      <c r="D1555" s="77"/>
      <c r="E1555" s="77"/>
      <c r="F1555" s="75"/>
      <c r="G1555" s="19"/>
      <c r="H1555" s="19"/>
      <c r="I1555" s="1" t="s">
        <v>1540</v>
      </c>
      <c r="J1555" s="1" t="s">
        <v>1922</v>
      </c>
      <c r="M1555" s="73"/>
      <c r="N1555" s="73"/>
      <c r="O1555" s="71"/>
      <c r="Q1555" s="42"/>
      <c r="R1555" s="42"/>
    </row>
    <row r="1556" spans="1:18" x14ac:dyDescent="0.25">
      <c r="A1556" s="80">
        <f>$A$2+415</f>
        <v>416</v>
      </c>
      <c r="B1556" s="78">
        <v>9</v>
      </c>
      <c r="C1556" s="76">
        <v>8</v>
      </c>
      <c r="D1556" s="76">
        <v>1732</v>
      </c>
      <c r="E1556" s="76">
        <f>F1556-4</f>
        <v>504</v>
      </c>
      <c r="F1556" s="74">
        <v>508</v>
      </c>
      <c r="G1556" s="18" t="s">
        <v>1924</v>
      </c>
      <c r="H1556" s="18" t="s">
        <v>843</v>
      </c>
      <c r="I1556" t="s">
        <v>31</v>
      </c>
      <c r="J1556" t="s">
        <v>1924</v>
      </c>
      <c r="M1556" s="72" t="s">
        <v>244</v>
      </c>
      <c r="N1556" s="72" t="s">
        <v>53</v>
      </c>
      <c r="O1556" s="70" t="s">
        <v>1925</v>
      </c>
    </row>
    <row r="1557" spans="1:18" s="1" customFormat="1" x14ac:dyDescent="0.25">
      <c r="A1557" s="81"/>
      <c r="B1557" s="79"/>
      <c r="C1557" s="77"/>
      <c r="D1557" s="77"/>
      <c r="E1557" s="77"/>
      <c r="F1557" s="75"/>
      <c r="G1557" s="19"/>
      <c r="H1557" s="19"/>
      <c r="I1557" s="1" t="s">
        <v>103</v>
      </c>
      <c r="J1557" s="1" t="s">
        <v>843</v>
      </c>
      <c r="K1557" s="1" t="s">
        <v>1224</v>
      </c>
      <c r="M1557" s="73"/>
      <c r="N1557" s="73"/>
      <c r="O1557" s="71"/>
      <c r="Q1557" s="42"/>
      <c r="R1557" s="42"/>
    </row>
    <row r="1558" spans="1:18" x14ac:dyDescent="0.25">
      <c r="A1558" s="80">
        <f>$A$2+416</f>
        <v>417</v>
      </c>
      <c r="B1558" s="78">
        <v>9</v>
      </c>
      <c r="C1558" s="76">
        <v>8</v>
      </c>
      <c r="D1558" s="76">
        <v>1732</v>
      </c>
      <c r="E1558" s="76">
        <f>F1558-4</f>
        <v>504</v>
      </c>
      <c r="F1558" s="74">
        <v>508</v>
      </c>
      <c r="G1558" s="18" t="s">
        <v>1720</v>
      </c>
      <c r="H1558" s="18" t="s">
        <v>643</v>
      </c>
      <c r="I1558" t="s">
        <v>103</v>
      </c>
      <c r="J1558" t="s">
        <v>643</v>
      </c>
      <c r="M1558" s="72" t="s">
        <v>244</v>
      </c>
      <c r="N1558" s="72" t="s">
        <v>20</v>
      </c>
      <c r="O1558" s="70" t="s">
        <v>1926</v>
      </c>
    </row>
    <row r="1559" spans="1:18" s="1" customFormat="1" x14ac:dyDescent="0.25">
      <c r="A1559" s="81"/>
      <c r="B1559" s="79"/>
      <c r="C1559" s="77"/>
      <c r="D1559" s="77"/>
      <c r="E1559" s="77"/>
      <c r="F1559" s="75"/>
      <c r="G1559" s="19"/>
      <c r="H1559" s="19"/>
      <c r="J1559" s="1" t="s">
        <v>1024</v>
      </c>
      <c r="M1559" s="73"/>
      <c r="N1559" s="73"/>
      <c r="O1559" s="71"/>
      <c r="Q1559" s="42"/>
      <c r="R1559" s="42"/>
    </row>
    <row r="1560" spans="1:18" x14ac:dyDescent="0.25">
      <c r="A1560" s="80">
        <f>$A$2+417</f>
        <v>418</v>
      </c>
      <c r="B1560" s="78">
        <v>17</v>
      </c>
      <c r="C1560" s="76">
        <v>10</v>
      </c>
      <c r="D1560" s="76">
        <v>1732</v>
      </c>
      <c r="E1560" s="76">
        <f>F1560-4</f>
        <v>505</v>
      </c>
      <c r="F1560" s="74">
        <v>509</v>
      </c>
      <c r="G1560" s="18" t="s">
        <v>871</v>
      </c>
      <c r="H1560" s="18" t="s">
        <v>842</v>
      </c>
      <c r="I1560" t="s">
        <v>27</v>
      </c>
      <c r="J1560" t="s">
        <v>871</v>
      </c>
      <c r="M1560" s="72" t="s">
        <v>1929</v>
      </c>
      <c r="N1560" s="72" t="s">
        <v>20</v>
      </c>
      <c r="O1560" s="70" t="s">
        <v>1930</v>
      </c>
    </row>
    <row r="1561" spans="1:18" x14ac:dyDescent="0.25">
      <c r="A1561" s="87"/>
      <c r="B1561" s="86"/>
      <c r="C1561" s="85"/>
      <c r="D1561" s="85"/>
      <c r="E1561" s="85"/>
      <c r="F1561" s="84"/>
      <c r="G1561" s="18" t="s">
        <v>1927</v>
      </c>
      <c r="I1561" t="s">
        <v>27</v>
      </c>
      <c r="J1561" t="s">
        <v>1927</v>
      </c>
      <c r="M1561" s="83"/>
      <c r="N1561" s="83"/>
      <c r="O1561" s="82"/>
    </row>
    <row r="1562" spans="1:18" x14ac:dyDescent="0.25">
      <c r="A1562" s="87"/>
      <c r="B1562" s="86"/>
      <c r="C1562" s="85"/>
      <c r="D1562" s="85"/>
      <c r="E1562" s="85"/>
      <c r="F1562" s="84"/>
      <c r="I1562" t="s">
        <v>27</v>
      </c>
      <c r="J1562" t="s">
        <v>842</v>
      </c>
      <c r="M1562" s="83"/>
      <c r="N1562" s="83"/>
      <c r="O1562" s="82"/>
    </row>
    <row r="1563" spans="1:18" s="1" customFormat="1" x14ac:dyDescent="0.25">
      <c r="A1563" s="81"/>
      <c r="B1563" s="79"/>
      <c r="C1563" s="77"/>
      <c r="D1563" s="77"/>
      <c r="E1563" s="77"/>
      <c r="F1563" s="75"/>
      <c r="G1563" s="19"/>
      <c r="H1563" s="19"/>
      <c r="J1563" s="1" t="s">
        <v>1928</v>
      </c>
      <c r="M1563" s="73"/>
      <c r="N1563" s="73"/>
      <c r="O1563" s="71"/>
      <c r="Q1563" s="42"/>
      <c r="R1563" s="42"/>
    </row>
    <row r="1564" spans="1:18" x14ac:dyDescent="0.25">
      <c r="A1564" s="80">
        <f>$A$2+418</f>
        <v>419</v>
      </c>
      <c r="B1564" s="78">
        <v>17</v>
      </c>
      <c r="C1564" s="76">
        <v>10</v>
      </c>
      <c r="D1564" s="76">
        <v>1732</v>
      </c>
      <c r="E1564" s="76">
        <f>F1564-4</f>
        <v>505</v>
      </c>
      <c r="F1564" s="74">
        <v>509</v>
      </c>
      <c r="I1564" t="s">
        <v>1131</v>
      </c>
      <c r="J1564" t="s">
        <v>1932</v>
      </c>
      <c r="K1564" t="s">
        <v>1933</v>
      </c>
      <c r="L1564" t="s">
        <v>1934</v>
      </c>
      <c r="M1564" s="72" t="s">
        <v>1877</v>
      </c>
      <c r="N1564" s="72" t="s">
        <v>1931</v>
      </c>
      <c r="O1564" s="70" t="s">
        <v>1937</v>
      </c>
      <c r="P1564" t="s">
        <v>1938</v>
      </c>
    </row>
    <row r="1565" spans="1:18" s="1" customFormat="1" x14ac:dyDescent="0.25">
      <c r="A1565" s="81"/>
      <c r="B1565" s="79"/>
      <c r="C1565" s="77"/>
      <c r="D1565" s="77"/>
      <c r="E1565" s="77"/>
      <c r="F1565" s="75"/>
      <c r="G1565" s="19"/>
      <c r="H1565" s="19"/>
      <c r="I1565" s="1" t="s">
        <v>1131</v>
      </c>
      <c r="J1565" s="1" t="s">
        <v>1935</v>
      </c>
      <c r="K1565" s="1" t="s">
        <v>1936</v>
      </c>
      <c r="M1565" s="73"/>
      <c r="N1565" s="73"/>
      <c r="O1565" s="71"/>
      <c r="Q1565" s="42"/>
      <c r="R1565" s="42"/>
    </row>
    <row r="1566" spans="1:18" x14ac:dyDescent="0.25">
      <c r="A1566" s="80">
        <f>$A$2+419</f>
        <v>420</v>
      </c>
      <c r="B1566" s="78">
        <v>29</v>
      </c>
      <c r="C1566" s="76">
        <v>10</v>
      </c>
      <c r="D1566" s="76">
        <v>1732</v>
      </c>
      <c r="E1566" s="76">
        <f>F1566-4</f>
        <v>507</v>
      </c>
      <c r="F1566" s="74">
        <v>511</v>
      </c>
      <c r="I1566" t="s">
        <v>1131</v>
      </c>
      <c r="J1566" t="s">
        <v>1932</v>
      </c>
      <c r="K1566" t="s">
        <v>1933</v>
      </c>
      <c r="L1566" t="s">
        <v>1934</v>
      </c>
      <c r="M1566" s="72" t="s">
        <v>1877</v>
      </c>
      <c r="N1566" s="72" t="s">
        <v>53</v>
      </c>
      <c r="O1566" s="70" t="s">
        <v>1939</v>
      </c>
      <c r="P1566" t="s">
        <v>1954</v>
      </c>
    </row>
    <row r="1567" spans="1:18" x14ac:dyDescent="0.25">
      <c r="A1567" s="87"/>
      <c r="B1567" s="86"/>
      <c r="C1567" s="85"/>
      <c r="D1567" s="85"/>
      <c r="E1567" s="85"/>
      <c r="F1567" s="84"/>
      <c r="I1567" t="s">
        <v>1540</v>
      </c>
      <c r="J1567" t="s">
        <v>173</v>
      </c>
      <c r="K1567" t="s">
        <v>1940</v>
      </c>
      <c r="L1567" t="s">
        <v>1941</v>
      </c>
      <c r="M1567" s="83"/>
      <c r="N1567" s="83"/>
      <c r="O1567" s="82"/>
    </row>
    <row r="1568" spans="1:18" x14ac:dyDescent="0.25">
      <c r="A1568" s="87"/>
      <c r="B1568" s="86"/>
      <c r="C1568" s="85"/>
      <c r="D1568" s="85"/>
      <c r="E1568" s="85"/>
      <c r="F1568" s="84"/>
      <c r="I1568" t="s">
        <v>1551</v>
      </c>
      <c r="J1568" t="s">
        <v>1942</v>
      </c>
      <c r="L1568" t="s">
        <v>1946</v>
      </c>
      <c r="M1568" s="83"/>
      <c r="N1568" s="83"/>
      <c r="O1568" s="82"/>
    </row>
    <row r="1569" spans="1:18" x14ac:dyDescent="0.25">
      <c r="A1569" s="87"/>
      <c r="B1569" s="86"/>
      <c r="C1569" s="85"/>
      <c r="D1569" s="85"/>
      <c r="E1569" s="85"/>
      <c r="F1569" s="84"/>
      <c r="I1569" t="s">
        <v>103</v>
      </c>
      <c r="J1569" t="s">
        <v>75</v>
      </c>
      <c r="K1569" t="s">
        <v>1670</v>
      </c>
      <c r="M1569" s="83"/>
      <c r="N1569" s="83"/>
      <c r="O1569" s="82"/>
    </row>
    <row r="1570" spans="1:18" x14ac:dyDescent="0.25">
      <c r="A1570" s="87"/>
      <c r="B1570" s="86"/>
      <c r="C1570" s="85"/>
      <c r="D1570" s="85"/>
      <c r="E1570" s="85"/>
      <c r="F1570" s="84"/>
      <c r="I1570" t="s">
        <v>103</v>
      </c>
      <c r="J1570" t="s">
        <v>1943</v>
      </c>
      <c r="K1570" t="s">
        <v>1948</v>
      </c>
      <c r="M1570" s="83"/>
      <c r="N1570" s="83"/>
      <c r="O1570" s="82"/>
    </row>
    <row r="1571" spans="1:18" x14ac:dyDescent="0.25">
      <c r="A1571" s="87"/>
      <c r="B1571" s="86"/>
      <c r="C1571" s="85"/>
      <c r="D1571" s="85"/>
      <c r="E1571" s="85"/>
      <c r="F1571" s="84"/>
      <c r="I1571" t="s">
        <v>103</v>
      </c>
      <c r="J1571" t="s">
        <v>1875</v>
      </c>
      <c r="K1571" t="s">
        <v>1949</v>
      </c>
      <c r="M1571" s="83"/>
      <c r="N1571" s="83"/>
      <c r="O1571" s="82"/>
    </row>
    <row r="1572" spans="1:18" x14ac:dyDescent="0.25">
      <c r="A1572" s="87"/>
      <c r="B1572" s="86"/>
      <c r="C1572" s="85"/>
      <c r="D1572" s="85"/>
      <c r="E1572" s="85"/>
      <c r="F1572" s="84"/>
      <c r="I1572" t="s">
        <v>1131</v>
      </c>
      <c r="J1572" t="s">
        <v>1874</v>
      </c>
      <c r="K1572" t="s">
        <v>1775</v>
      </c>
      <c r="L1572" t="s">
        <v>1944</v>
      </c>
      <c r="M1572" s="83"/>
      <c r="N1572" s="83"/>
      <c r="O1572" s="82"/>
    </row>
    <row r="1573" spans="1:18" x14ac:dyDescent="0.25">
      <c r="A1573" s="87"/>
      <c r="B1573" s="86"/>
      <c r="C1573" s="85"/>
      <c r="D1573" s="85"/>
      <c r="E1573" s="85"/>
      <c r="F1573" s="84"/>
      <c r="I1573" t="s">
        <v>1131</v>
      </c>
      <c r="J1573" t="s">
        <v>1945</v>
      </c>
      <c r="M1573" s="83"/>
      <c r="N1573" s="83"/>
      <c r="O1573" s="82"/>
    </row>
    <row r="1574" spans="1:18" x14ac:dyDescent="0.25">
      <c r="A1574" s="87"/>
      <c r="B1574" s="86"/>
      <c r="C1574" s="85"/>
      <c r="D1574" s="85"/>
      <c r="E1574" s="85"/>
      <c r="F1574" s="84"/>
      <c r="J1574" t="s">
        <v>458</v>
      </c>
      <c r="M1574" s="83"/>
      <c r="N1574" s="83"/>
      <c r="O1574" s="82"/>
    </row>
    <row r="1575" spans="1:18" s="1" customFormat="1" x14ac:dyDescent="0.25">
      <c r="A1575" s="81"/>
      <c r="B1575" s="79"/>
      <c r="C1575" s="77"/>
      <c r="D1575" s="77"/>
      <c r="E1575" s="77"/>
      <c r="F1575" s="75"/>
      <c r="G1575" s="19"/>
      <c r="H1575" s="19"/>
      <c r="I1575" s="1" t="s">
        <v>1551</v>
      </c>
      <c r="J1575" s="1" t="s">
        <v>1947</v>
      </c>
      <c r="M1575" s="73"/>
      <c r="N1575" s="73"/>
      <c r="O1575" s="71"/>
      <c r="Q1575" s="42"/>
      <c r="R1575" s="42"/>
    </row>
    <row r="1576" spans="1:18" x14ac:dyDescent="0.25">
      <c r="A1576" s="80">
        <f>$A$2+420</f>
        <v>421</v>
      </c>
      <c r="B1576" s="78">
        <v>19</v>
      </c>
      <c r="C1576" s="76">
        <v>12</v>
      </c>
      <c r="D1576" s="76">
        <v>1732</v>
      </c>
      <c r="E1576" s="76">
        <f>F1576-4</f>
        <v>508</v>
      </c>
      <c r="F1576" s="74">
        <v>512</v>
      </c>
      <c r="I1576" t="s">
        <v>1131</v>
      </c>
      <c r="J1576" t="s">
        <v>1932</v>
      </c>
      <c r="K1576" t="s">
        <v>1933</v>
      </c>
      <c r="L1576" t="s">
        <v>1934</v>
      </c>
      <c r="M1576" s="72" t="s">
        <v>1877</v>
      </c>
      <c r="N1576" s="72" t="s">
        <v>53</v>
      </c>
      <c r="O1576" s="70"/>
      <c r="P1576" t="s">
        <v>1954</v>
      </c>
    </row>
    <row r="1577" spans="1:18" x14ac:dyDescent="0.25">
      <c r="A1577" s="87"/>
      <c r="B1577" s="86"/>
      <c r="C1577" s="85"/>
      <c r="D1577" s="85"/>
      <c r="E1577" s="85"/>
      <c r="F1577" s="84"/>
      <c r="I1577" t="s">
        <v>1540</v>
      </c>
      <c r="J1577" t="s">
        <v>173</v>
      </c>
      <c r="K1577" t="s">
        <v>1940</v>
      </c>
      <c r="M1577" s="83"/>
      <c r="N1577" s="83"/>
      <c r="O1577" s="82"/>
    </row>
    <row r="1578" spans="1:18" x14ac:dyDescent="0.25">
      <c r="A1578" s="87"/>
      <c r="B1578" s="86"/>
      <c r="C1578" s="85"/>
      <c r="D1578" s="85"/>
      <c r="E1578" s="85"/>
      <c r="F1578" s="84"/>
      <c r="I1578" t="s">
        <v>1131</v>
      </c>
      <c r="J1578" t="s">
        <v>1950</v>
      </c>
      <c r="K1578" t="s">
        <v>1951</v>
      </c>
      <c r="M1578" s="83"/>
      <c r="N1578" s="83"/>
      <c r="O1578" s="82"/>
    </row>
    <row r="1579" spans="1:18" x14ac:dyDescent="0.25">
      <c r="A1579" s="87"/>
      <c r="B1579" s="86"/>
      <c r="C1579" s="85"/>
      <c r="D1579" s="85"/>
      <c r="E1579" s="85"/>
      <c r="F1579" s="84"/>
      <c r="J1579" t="s">
        <v>1942</v>
      </c>
      <c r="L1579" t="s">
        <v>1946</v>
      </c>
      <c r="M1579" s="83"/>
      <c r="N1579" s="83"/>
      <c r="O1579" s="82"/>
    </row>
    <row r="1580" spans="1:18" x14ac:dyDescent="0.25">
      <c r="A1580" s="87"/>
      <c r="B1580" s="86"/>
      <c r="C1580" s="85"/>
      <c r="D1580" s="85"/>
      <c r="E1580" s="85"/>
      <c r="F1580" s="84"/>
      <c r="I1580" t="s">
        <v>103</v>
      </c>
      <c r="J1580" t="s">
        <v>457</v>
      </c>
      <c r="M1580" s="83"/>
      <c r="N1580" s="83"/>
      <c r="O1580" s="82"/>
    </row>
    <row r="1581" spans="1:18" x14ac:dyDescent="0.25">
      <c r="A1581" s="87"/>
      <c r="B1581" s="86"/>
      <c r="C1581" s="85"/>
      <c r="D1581" s="85"/>
      <c r="E1581" s="85"/>
      <c r="F1581" s="84"/>
      <c r="I1581" t="s">
        <v>103</v>
      </c>
      <c r="J1581" t="s">
        <v>1398</v>
      </c>
      <c r="K1581" t="s">
        <v>1118</v>
      </c>
      <c r="M1581" s="83"/>
      <c r="N1581" s="83"/>
      <c r="O1581" s="82"/>
    </row>
    <row r="1582" spans="1:18" x14ac:dyDescent="0.25">
      <c r="A1582" s="87"/>
      <c r="B1582" s="86"/>
      <c r="C1582" s="85"/>
      <c r="D1582" s="85"/>
      <c r="E1582" s="85"/>
      <c r="F1582" s="84"/>
      <c r="I1582" t="s">
        <v>103</v>
      </c>
      <c r="J1582" t="s">
        <v>588</v>
      </c>
      <c r="K1582" t="s">
        <v>1118</v>
      </c>
      <c r="M1582" s="83"/>
      <c r="N1582" s="83"/>
      <c r="O1582" s="82"/>
    </row>
    <row r="1583" spans="1:18" x14ac:dyDescent="0.25">
      <c r="A1583" s="87"/>
      <c r="B1583" s="86"/>
      <c r="C1583" s="85"/>
      <c r="D1583" s="85"/>
      <c r="E1583" s="85"/>
      <c r="F1583" s="84"/>
      <c r="I1583" t="s">
        <v>27</v>
      </c>
      <c r="J1583" t="s">
        <v>93</v>
      </c>
      <c r="K1583" t="s">
        <v>1953</v>
      </c>
      <c r="M1583" s="83"/>
      <c r="N1583" s="83"/>
      <c r="O1583" s="82"/>
    </row>
    <row r="1584" spans="1:18" x14ac:dyDescent="0.25">
      <c r="A1584" s="87"/>
      <c r="B1584" s="86"/>
      <c r="C1584" s="85"/>
      <c r="D1584" s="85"/>
      <c r="E1584" s="85"/>
      <c r="F1584" s="84"/>
      <c r="I1584" t="s">
        <v>27</v>
      </c>
      <c r="J1584" t="s">
        <v>37</v>
      </c>
      <c r="K1584" t="s">
        <v>1953</v>
      </c>
      <c r="M1584" s="83"/>
      <c r="N1584" s="83"/>
      <c r="O1584" s="82"/>
    </row>
    <row r="1585" spans="1:18" s="1" customFormat="1" x14ac:dyDescent="0.25">
      <c r="A1585" s="81"/>
      <c r="B1585" s="79"/>
      <c r="C1585" s="77"/>
      <c r="D1585" s="77"/>
      <c r="E1585" s="77"/>
      <c r="F1585" s="75"/>
      <c r="G1585" s="19"/>
      <c r="H1585" s="19"/>
      <c r="J1585" s="1" t="s">
        <v>1952</v>
      </c>
      <c r="K1585" s="1" t="s">
        <v>1953</v>
      </c>
      <c r="M1585" s="73"/>
      <c r="N1585" s="73"/>
      <c r="O1585" s="71"/>
      <c r="Q1585" s="42"/>
      <c r="R1585" s="42"/>
    </row>
    <row r="1586" spans="1:18" x14ac:dyDescent="0.25">
      <c r="A1586" s="80">
        <f>$A$2+421</f>
        <v>422</v>
      </c>
      <c r="B1586" s="78">
        <v>11</v>
      </c>
      <c r="C1586" s="76">
        <v>5</v>
      </c>
      <c r="D1586" s="76">
        <v>1736</v>
      </c>
      <c r="E1586" s="76">
        <f>F1586-4</f>
        <v>510</v>
      </c>
      <c r="F1586" s="74">
        <v>514</v>
      </c>
      <c r="I1586" t="s">
        <v>27</v>
      </c>
      <c r="J1586" t="s">
        <v>493</v>
      </c>
      <c r="M1586" s="72" t="s">
        <v>594</v>
      </c>
      <c r="N1586" s="72" t="s">
        <v>600</v>
      </c>
      <c r="O1586" s="70"/>
      <c r="P1586" t="s">
        <v>1957</v>
      </c>
    </row>
    <row r="1587" spans="1:18" x14ac:dyDescent="0.25">
      <c r="A1587" s="87"/>
      <c r="B1587" s="86"/>
      <c r="C1587" s="85"/>
      <c r="D1587" s="85"/>
      <c r="E1587" s="85"/>
      <c r="F1587" s="84"/>
      <c r="I1587" t="s">
        <v>103</v>
      </c>
      <c r="J1587" t="s">
        <v>1888</v>
      </c>
      <c r="K1587" t="s">
        <v>1081</v>
      </c>
      <c r="M1587" s="83"/>
      <c r="N1587" s="83"/>
      <c r="O1587" s="82"/>
    </row>
    <row r="1588" spans="1:18" x14ac:dyDescent="0.25">
      <c r="A1588" s="87"/>
      <c r="B1588" s="86"/>
      <c r="C1588" s="85"/>
      <c r="D1588" s="85"/>
      <c r="E1588" s="85"/>
      <c r="F1588" s="84"/>
      <c r="I1588" t="s">
        <v>103</v>
      </c>
      <c r="J1588" t="s">
        <v>1955</v>
      </c>
      <c r="K1588" t="s">
        <v>1118</v>
      </c>
      <c r="M1588" s="83"/>
      <c r="N1588" s="83"/>
      <c r="O1588" s="82"/>
    </row>
    <row r="1589" spans="1:18" x14ac:dyDescent="0.25">
      <c r="A1589" s="87"/>
      <c r="B1589" s="86"/>
      <c r="C1589" s="85"/>
      <c r="D1589" s="85"/>
      <c r="E1589" s="85"/>
      <c r="F1589" s="84"/>
      <c r="I1589" t="s">
        <v>103</v>
      </c>
      <c r="J1589" t="s">
        <v>1956</v>
      </c>
      <c r="K1589" t="s">
        <v>1118</v>
      </c>
      <c r="M1589" s="83"/>
      <c r="N1589" s="83"/>
      <c r="O1589" s="82"/>
    </row>
    <row r="1590" spans="1:18" x14ac:dyDescent="0.25">
      <c r="A1590" s="87"/>
      <c r="B1590" s="86"/>
      <c r="C1590" s="85"/>
      <c r="D1590" s="85"/>
      <c r="E1590" s="85"/>
      <c r="F1590" s="84"/>
      <c r="I1590" t="s">
        <v>103</v>
      </c>
      <c r="J1590" t="s">
        <v>457</v>
      </c>
      <c r="K1590" t="s">
        <v>1118</v>
      </c>
      <c r="M1590" s="83"/>
      <c r="N1590" s="83"/>
      <c r="O1590" s="82"/>
    </row>
    <row r="1591" spans="1:18" x14ac:dyDescent="0.25">
      <c r="A1591" s="87"/>
      <c r="B1591" s="86"/>
      <c r="C1591" s="85"/>
      <c r="D1591" s="85"/>
      <c r="E1591" s="85"/>
      <c r="F1591" s="84"/>
      <c r="I1591" t="s">
        <v>103</v>
      </c>
      <c r="J1591" t="s">
        <v>246</v>
      </c>
      <c r="K1591" t="s">
        <v>1670</v>
      </c>
      <c r="M1591" s="83"/>
      <c r="N1591" s="83"/>
      <c r="O1591" s="82"/>
    </row>
    <row r="1592" spans="1:18" s="1" customFormat="1" x14ac:dyDescent="0.25">
      <c r="A1592" s="81"/>
      <c r="B1592" s="79"/>
      <c r="C1592" s="77"/>
      <c r="D1592" s="77"/>
      <c r="E1592" s="77"/>
      <c r="F1592" s="75"/>
      <c r="G1592" s="19"/>
      <c r="H1592" s="19"/>
      <c r="I1592" s="1" t="s">
        <v>103</v>
      </c>
      <c r="J1592" s="1" t="s">
        <v>662</v>
      </c>
      <c r="K1592" s="1" t="s">
        <v>1670</v>
      </c>
      <c r="M1592" s="73"/>
      <c r="N1592" s="73"/>
      <c r="O1592" s="71"/>
      <c r="Q1592" s="42"/>
      <c r="R1592" s="42"/>
    </row>
    <row r="1593" spans="1:18" s="55" customFormat="1" ht="15.75" customHeight="1" x14ac:dyDescent="0.25">
      <c r="A1593" s="57">
        <f>$A$2+422</f>
        <v>423</v>
      </c>
      <c r="B1593" s="64">
        <v>6</v>
      </c>
      <c r="C1593" s="65">
        <v>11</v>
      </c>
      <c r="D1593" s="65">
        <v>1732</v>
      </c>
      <c r="E1593" s="65">
        <f>F1593-4</f>
        <v>511</v>
      </c>
      <c r="F1593" s="66">
        <v>515</v>
      </c>
      <c r="G1593" s="54" t="s">
        <v>1720</v>
      </c>
      <c r="H1593" s="54" t="s">
        <v>123</v>
      </c>
      <c r="I1593" s="55" t="s">
        <v>27</v>
      </c>
      <c r="J1593" s="55" t="s">
        <v>123</v>
      </c>
      <c r="K1593" s="55" t="s">
        <v>1958</v>
      </c>
      <c r="M1593" s="15" t="s">
        <v>1959</v>
      </c>
      <c r="N1593" s="15" t="s">
        <v>20</v>
      </c>
      <c r="O1593" s="61" t="s">
        <v>1960</v>
      </c>
      <c r="Q1593" s="56"/>
      <c r="R1593" s="56"/>
    </row>
    <row r="1594" spans="1:18" s="55" customFormat="1" ht="16.5" customHeight="1" x14ac:dyDescent="0.25">
      <c r="A1594" s="57">
        <f>$A$2+423</f>
        <v>424</v>
      </c>
      <c r="B1594" s="64">
        <v>7</v>
      </c>
      <c r="C1594" s="65">
        <v>11</v>
      </c>
      <c r="D1594" s="65">
        <v>1732</v>
      </c>
      <c r="E1594" s="65">
        <f>F1594-4</f>
        <v>511</v>
      </c>
      <c r="F1594" s="66">
        <v>515</v>
      </c>
      <c r="G1594" s="54"/>
      <c r="H1594" s="54" t="s">
        <v>123</v>
      </c>
      <c r="I1594" s="55" t="s">
        <v>27</v>
      </c>
      <c r="J1594" s="55" t="s">
        <v>123</v>
      </c>
      <c r="K1594" s="55" t="s">
        <v>1958</v>
      </c>
      <c r="M1594" s="15" t="s">
        <v>1959</v>
      </c>
      <c r="N1594" s="15" t="s">
        <v>53</v>
      </c>
      <c r="O1594" s="61" t="s">
        <v>1961</v>
      </c>
      <c r="Q1594" s="56"/>
      <c r="R1594" s="56"/>
    </row>
    <row r="1595" spans="1:18" x14ac:dyDescent="0.25">
      <c r="A1595" s="80">
        <f>$A$2+424</f>
        <v>425</v>
      </c>
      <c r="B1595" s="78">
        <v>7</v>
      </c>
      <c r="C1595" s="76">
        <v>11</v>
      </c>
      <c r="D1595" s="76">
        <v>1732</v>
      </c>
      <c r="E1595" s="76">
        <f>F1595-4</f>
        <v>511</v>
      </c>
      <c r="F1595" s="74">
        <v>515</v>
      </c>
      <c r="G1595" s="18" t="s">
        <v>1962</v>
      </c>
      <c r="H1595" s="18" t="s">
        <v>1963</v>
      </c>
      <c r="I1595" t="s">
        <v>27</v>
      </c>
      <c r="J1595" t="s">
        <v>1962</v>
      </c>
      <c r="M1595" s="72" t="s">
        <v>13</v>
      </c>
      <c r="N1595" s="72" t="s">
        <v>20</v>
      </c>
      <c r="O1595" s="70" t="s">
        <v>1964</v>
      </c>
    </row>
    <row r="1596" spans="1:18" s="1" customFormat="1" x14ac:dyDescent="0.25">
      <c r="A1596" s="81"/>
      <c r="B1596" s="79"/>
      <c r="C1596" s="77"/>
      <c r="D1596" s="77"/>
      <c r="E1596" s="77"/>
      <c r="F1596" s="75"/>
      <c r="G1596" s="19"/>
      <c r="H1596" s="19"/>
      <c r="I1596" s="1" t="s">
        <v>27</v>
      </c>
      <c r="J1596" s="1" t="s">
        <v>1963</v>
      </c>
      <c r="M1596" s="73"/>
      <c r="N1596" s="73"/>
      <c r="O1596" s="71"/>
      <c r="Q1596" s="42"/>
      <c r="R1596" s="42"/>
    </row>
    <row r="1597" spans="1:18" x14ac:dyDescent="0.25">
      <c r="A1597" s="80">
        <f>$A$2+425</f>
        <v>426</v>
      </c>
      <c r="B1597" s="78">
        <v>7</v>
      </c>
      <c r="C1597" s="76">
        <v>11</v>
      </c>
      <c r="D1597" s="76">
        <v>1732</v>
      </c>
      <c r="E1597" s="76">
        <f>F1597-4</f>
        <v>512</v>
      </c>
      <c r="F1597" s="74">
        <v>516</v>
      </c>
      <c r="G1597" s="18" t="s">
        <v>1962</v>
      </c>
      <c r="H1597" s="18" t="s">
        <v>1963</v>
      </c>
      <c r="I1597" t="s">
        <v>27</v>
      </c>
      <c r="J1597" t="s">
        <v>1962</v>
      </c>
      <c r="K1597" t="s">
        <v>1967</v>
      </c>
      <c r="M1597" s="72" t="s">
        <v>159</v>
      </c>
      <c r="N1597" s="72" t="s">
        <v>9</v>
      </c>
      <c r="O1597" s="70" t="s">
        <v>1968</v>
      </c>
    </row>
    <row r="1598" spans="1:18" x14ac:dyDescent="0.25">
      <c r="A1598" s="87"/>
      <c r="B1598" s="86"/>
      <c r="C1598" s="85"/>
      <c r="D1598" s="85"/>
      <c r="E1598" s="85"/>
      <c r="F1598" s="84"/>
      <c r="I1598" t="s">
        <v>27</v>
      </c>
      <c r="J1598" t="s">
        <v>1963</v>
      </c>
      <c r="M1598" s="83"/>
      <c r="N1598" s="83"/>
      <c r="O1598" s="82"/>
    </row>
    <row r="1599" spans="1:18" s="1" customFormat="1" x14ac:dyDescent="0.25">
      <c r="A1599" s="81"/>
      <c r="B1599" s="79"/>
      <c r="C1599" s="77"/>
      <c r="D1599" s="77"/>
      <c r="E1599" s="77"/>
      <c r="F1599" s="75"/>
      <c r="G1599" s="19"/>
      <c r="H1599" s="19"/>
      <c r="J1599" s="1" t="s">
        <v>1965</v>
      </c>
      <c r="K1599" s="1" t="s">
        <v>1966</v>
      </c>
      <c r="M1599" s="73"/>
      <c r="N1599" s="73"/>
      <c r="O1599" s="71"/>
      <c r="Q1599" s="42"/>
      <c r="R1599" s="42"/>
    </row>
    <row r="1600" spans="1:18" ht="15" customHeight="1" x14ac:dyDescent="0.25">
      <c r="A1600" s="80">
        <f>$A$2+426</f>
        <v>427</v>
      </c>
      <c r="B1600" s="78">
        <v>27</v>
      </c>
      <c r="C1600" s="76">
        <v>9</v>
      </c>
      <c r="D1600" s="76">
        <v>1731</v>
      </c>
      <c r="E1600" s="76">
        <f>F1600-4</f>
        <v>512</v>
      </c>
      <c r="F1600" s="74">
        <v>516</v>
      </c>
      <c r="I1600" t="s">
        <v>103</v>
      </c>
      <c r="J1600" s="127" t="s">
        <v>1969</v>
      </c>
      <c r="K1600" t="s">
        <v>1670</v>
      </c>
      <c r="M1600" s="72" t="s">
        <v>594</v>
      </c>
      <c r="N1600" s="72" t="s">
        <v>600</v>
      </c>
      <c r="O1600" s="70" t="s">
        <v>1974</v>
      </c>
    </row>
    <row r="1601" spans="1:18" x14ac:dyDescent="0.25">
      <c r="A1601" s="87"/>
      <c r="B1601" s="86"/>
      <c r="C1601" s="129"/>
      <c r="D1601" s="129"/>
      <c r="E1601" s="129"/>
      <c r="F1601" s="84"/>
      <c r="I1601" t="s">
        <v>103</v>
      </c>
      <c r="J1601" s="127" t="s">
        <v>643</v>
      </c>
      <c r="K1601" t="s">
        <v>1081</v>
      </c>
      <c r="M1601" s="83"/>
      <c r="N1601" s="83"/>
      <c r="O1601" s="82"/>
    </row>
    <row r="1602" spans="1:18" x14ac:dyDescent="0.25">
      <c r="A1602" s="87"/>
      <c r="B1602" s="86"/>
      <c r="C1602" s="129"/>
      <c r="D1602" s="129"/>
      <c r="E1602" s="129"/>
      <c r="F1602" s="84"/>
      <c r="I1602" t="s">
        <v>103</v>
      </c>
      <c r="J1602" s="127" t="s">
        <v>24</v>
      </c>
      <c r="K1602" t="s">
        <v>1081</v>
      </c>
      <c r="M1602" s="83"/>
      <c r="N1602" s="83"/>
      <c r="O1602" s="82"/>
    </row>
    <row r="1603" spans="1:18" x14ac:dyDescent="0.25">
      <c r="A1603" s="87"/>
      <c r="B1603" s="86"/>
      <c r="C1603" s="129"/>
      <c r="D1603" s="129"/>
      <c r="E1603" s="129"/>
      <c r="F1603" s="84"/>
      <c r="I1603" t="s">
        <v>103</v>
      </c>
      <c r="J1603" s="127" t="s">
        <v>457</v>
      </c>
      <c r="K1603" t="s">
        <v>1081</v>
      </c>
      <c r="M1603" s="83"/>
      <c r="N1603" s="83"/>
      <c r="O1603" s="82"/>
    </row>
    <row r="1604" spans="1:18" x14ac:dyDescent="0.25">
      <c r="A1604" s="87"/>
      <c r="B1604" s="86"/>
      <c r="C1604" s="129"/>
      <c r="D1604" s="129"/>
      <c r="E1604" s="129"/>
      <c r="F1604" s="84"/>
      <c r="I1604" t="s">
        <v>103</v>
      </c>
      <c r="J1604" s="127" t="s">
        <v>580</v>
      </c>
      <c r="K1604" t="s">
        <v>1081</v>
      </c>
      <c r="M1604" s="83"/>
      <c r="N1604" s="83"/>
      <c r="O1604" s="82"/>
    </row>
    <row r="1605" spans="1:18" x14ac:dyDescent="0.25">
      <c r="A1605" s="87"/>
      <c r="B1605" s="86"/>
      <c r="C1605" s="129"/>
      <c r="D1605" s="129"/>
      <c r="E1605" s="129"/>
      <c r="F1605" s="84"/>
      <c r="I1605" t="s">
        <v>27</v>
      </c>
      <c r="J1605" s="127" t="s">
        <v>63</v>
      </c>
      <c r="M1605" s="83"/>
      <c r="N1605" s="83"/>
      <c r="O1605" s="82"/>
      <c r="P1605" t="s">
        <v>1973</v>
      </c>
    </row>
    <row r="1606" spans="1:18" s="1" customFormat="1" x14ac:dyDescent="0.25">
      <c r="A1606" s="81"/>
      <c r="B1606" s="79"/>
      <c r="C1606" s="77"/>
      <c r="D1606" s="77"/>
      <c r="E1606" s="77"/>
      <c r="F1606" s="75"/>
      <c r="G1606" s="19"/>
      <c r="H1606" s="19"/>
      <c r="J1606" s="128" t="s">
        <v>1970</v>
      </c>
      <c r="K1606" s="1" t="s">
        <v>1971</v>
      </c>
      <c r="M1606" s="73"/>
      <c r="N1606" s="73"/>
      <c r="O1606" s="71"/>
      <c r="P1606" s="1" t="s">
        <v>1972</v>
      </c>
      <c r="Q1606" s="42"/>
      <c r="R1606" s="42"/>
    </row>
    <row r="1607" spans="1:18" x14ac:dyDescent="0.25">
      <c r="A1607" s="80">
        <f>$A$2+427</f>
        <v>428</v>
      </c>
      <c r="B1607" s="78">
        <v>10</v>
      </c>
      <c r="C1607" s="76">
        <v>10</v>
      </c>
      <c r="D1607" s="76">
        <v>1732</v>
      </c>
      <c r="E1607" s="76">
        <f>F1607-4</f>
        <v>513</v>
      </c>
      <c r="F1607" s="74">
        <v>517</v>
      </c>
      <c r="G1607" s="18" t="s">
        <v>1956</v>
      </c>
      <c r="H1607" s="18" t="s">
        <v>724</v>
      </c>
      <c r="I1607" t="s">
        <v>27</v>
      </c>
      <c r="J1607" s="127" t="s">
        <v>1956</v>
      </c>
      <c r="K1607" s="127" t="s">
        <v>1259</v>
      </c>
      <c r="M1607" s="72" t="s">
        <v>1929</v>
      </c>
      <c r="N1607" s="72" t="s">
        <v>20</v>
      </c>
      <c r="O1607" s="70" t="s">
        <v>1977</v>
      </c>
    </row>
    <row r="1608" spans="1:18" x14ac:dyDescent="0.25">
      <c r="A1608" s="87"/>
      <c r="B1608" s="86"/>
      <c r="C1608" s="129"/>
      <c r="D1608" s="129"/>
      <c r="E1608" s="129"/>
      <c r="F1608" s="84"/>
      <c r="G1608" s="18" t="s">
        <v>1975</v>
      </c>
      <c r="I1608" t="s">
        <v>27</v>
      </c>
      <c r="J1608" s="127" t="s">
        <v>1975</v>
      </c>
      <c r="K1608" s="127" t="s">
        <v>1259</v>
      </c>
      <c r="M1608" s="83"/>
      <c r="N1608" s="83"/>
      <c r="O1608" s="82"/>
    </row>
    <row r="1609" spans="1:18" x14ac:dyDescent="0.25">
      <c r="A1609" s="87"/>
      <c r="B1609" s="86"/>
      <c r="C1609" s="129"/>
      <c r="D1609" s="129"/>
      <c r="E1609" s="129"/>
      <c r="F1609" s="84"/>
      <c r="J1609" s="127" t="s">
        <v>228</v>
      </c>
      <c r="M1609" s="83"/>
      <c r="N1609" s="83"/>
      <c r="O1609" s="82"/>
    </row>
    <row r="1610" spans="1:18" s="1" customFormat="1" x14ac:dyDescent="0.25">
      <c r="A1610" s="81"/>
      <c r="B1610" s="79"/>
      <c r="C1610" s="77"/>
      <c r="D1610" s="77"/>
      <c r="E1610" s="77"/>
      <c r="F1610" s="75"/>
      <c r="G1610" s="19"/>
      <c r="H1610" s="19"/>
      <c r="J1610" s="128" t="s">
        <v>1976</v>
      </c>
      <c r="M1610" s="73"/>
      <c r="N1610" s="73"/>
      <c r="O1610" s="71"/>
      <c r="Q1610" s="42"/>
      <c r="R1610" s="42"/>
    </row>
    <row r="1611" spans="1:18" x14ac:dyDescent="0.25">
      <c r="A1611" s="80">
        <f>$A$2+428</f>
        <v>429</v>
      </c>
      <c r="B1611" s="78">
        <v>20</v>
      </c>
      <c r="C1611" s="76">
        <v>1</v>
      </c>
      <c r="D1611" s="76">
        <v>1733</v>
      </c>
      <c r="E1611" s="76">
        <f>F1611-4</f>
        <v>513</v>
      </c>
      <c r="F1611" s="74">
        <v>517</v>
      </c>
      <c r="I1611" t="s">
        <v>103</v>
      </c>
      <c r="J1611" s="127" t="s">
        <v>1969</v>
      </c>
      <c r="K1611" t="s">
        <v>1670</v>
      </c>
      <c r="M1611" s="72" t="s">
        <v>594</v>
      </c>
      <c r="N1611" s="72" t="s">
        <v>600</v>
      </c>
      <c r="O1611" s="70" t="s">
        <v>1981</v>
      </c>
    </row>
    <row r="1612" spans="1:18" x14ac:dyDescent="0.25">
      <c r="A1612" s="87"/>
      <c r="B1612" s="86"/>
      <c r="C1612" s="129"/>
      <c r="D1612" s="129"/>
      <c r="E1612" s="129"/>
      <c r="F1612" s="84"/>
      <c r="I1612" t="s">
        <v>103</v>
      </c>
      <c r="J1612" s="127" t="s">
        <v>457</v>
      </c>
      <c r="K1612" t="s">
        <v>1081</v>
      </c>
      <c r="M1612" s="83"/>
      <c r="N1612" s="83"/>
      <c r="O1612" s="82"/>
    </row>
    <row r="1613" spans="1:18" x14ac:dyDescent="0.25">
      <c r="A1613" s="87"/>
      <c r="B1613" s="86"/>
      <c r="C1613" s="129"/>
      <c r="D1613" s="129"/>
      <c r="E1613" s="129"/>
      <c r="F1613" s="84"/>
      <c r="I1613" t="s">
        <v>103</v>
      </c>
      <c r="J1613" t="s">
        <v>246</v>
      </c>
      <c r="K1613" t="s">
        <v>1081</v>
      </c>
      <c r="M1613" s="83"/>
      <c r="N1613" s="83"/>
      <c r="O1613" s="82"/>
    </row>
    <row r="1614" spans="1:18" x14ac:dyDescent="0.25">
      <c r="A1614" s="87"/>
      <c r="B1614" s="86"/>
      <c r="C1614" s="129"/>
      <c r="D1614" s="129"/>
      <c r="E1614" s="129"/>
      <c r="F1614" s="84"/>
      <c r="I1614" t="s">
        <v>103</v>
      </c>
      <c r="J1614" t="s">
        <v>588</v>
      </c>
      <c r="K1614" t="s">
        <v>1081</v>
      </c>
      <c r="M1614" s="83"/>
      <c r="N1614" s="83"/>
      <c r="O1614" s="82"/>
    </row>
    <row r="1615" spans="1:18" x14ac:dyDescent="0.25">
      <c r="A1615" s="87"/>
      <c r="B1615" s="86"/>
      <c r="C1615" s="129"/>
      <c r="D1615" s="129"/>
      <c r="E1615" s="129"/>
      <c r="F1615" s="84"/>
      <c r="I1615" t="s">
        <v>103</v>
      </c>
      <c r="J1615" t="s">
        <v>1398</v>
      </c>
      <c r="K1615" t="s">
        <v>1081</v>
      </c>
      <c r="M1615" s="83"/>
      <c r="N1615" s="83"/>
      <c r="O1615" s="82"/>
    </row>
    <row r="1616" spans="1:18" x14ac:dyDescent="0.25">
      <c r="A1616" s="87"/>
      <c r="B1616" s="86"/>
      <c r="C1616" s="129"/>
      <c r="D1616" s="129"/>
      <c r="E1616" s="129"/>
      <c r="F1616" s="84"/>
      <c r="I1616" t="s">
        <v>27</v>
      </c>
      <c r="J1616" t="s">
        <v>1978</v>
      </c>
      <c r="M1616" s="83"/>
      <c r="N1616" s="83"/>
      <c r="O1616" s="82"/>
      <c r="P1616" t="s">
        <v>1979</v>
      </c>
    </row>
    <row r="1617" spans="1:18" s="1" customFormat="1" x14ac:dyDescent="0.25">
      <c r="A1617" s="81"/>
      <c r="B1617" s="79"/>
      <c r="C1617" s="77"/>
      <c r="D1617" s="77"/>
      <c r="E1617" s="77"/>
      <c r="F1617" s="75"/>
      <c r="G1617" s="19"/>
      <c r="H1617" s="19"/>
      <c r="J1617" s="1" t="s">
        <v>1980</v>
      </c>
      <c r="M1617" s="73"/>
      <c r="N1617" s="73"/>
      <c r="O1617" s="71"/>
      <c r="Q1617" s="42"/>
      <c r="R1617" s="42"/>
    </row>
    <row r="1618" spans="1:18" x14ac:dyDescent="0.25">
      <c r="A1618" s="80">
        <f>$A$2+429</f>
        <v>430</v>
      </c>
      <c r="B1618" s="78">
        <v>20</v>
      </c>
      <c r="C1618" s="76">
        <v>1</v>
      </c>
      <c r="D1618" s="76">
        <v>1733</v>
      </c>
      <c r="E1618" s="76">
        <f>F1618-4</f>
        <v>514</v>
      </c>
      <c r="F1618" s="74">
        <v>518</v>
      </c>
      <c r="I1618" t="s">
        <v>1131</v>
      </c>
      <c r="J1618" t="s">
        <v>1874</v>
      </c>
      <c r="K1618" t="s">
        <v>1775</v>
      </c>
      <c r="M1618" s="72" t="s">
        <v>1699</v>
      </c>
      <c r="N1618" s="72" t="s">
        <v>811</v>
      </c>
      <c r="O1618" s="70"/>
    </row>
    <row r="1619" spans="1:18" x14ac:dyDescent="0.25">
      <c r="A1619" s="87"/>
      <c r="B1619" s="86"/>
      <c r="C1619" s="129"/>
      <c r="D1619" s="129"/>
      <c r="E1619" s="129"/>
      <c r="F1619" s="84"/>
      <c r="I1619" t="s">
        <v>103</v>
      </c>
      <c r="J1619" t="s">
        <v>57</v>
      </c>
      <c r="K1619" t="s">
        <v>1143</v>
      </c>
      <c r="L1619" t="s">
        <v>928</v>
      </c>
      <c r="M1619" s="83"/>
      <c r="N1619" s="83"/>
      <c r="O1619" s="82"/>
    </row>
    <row r="1620" spans="1:18" x14ac:dyDescent="0.25">
      <c r="A1620" s="87"/>
      <c r="B1620" s="86"/>
      <c r="C1620" s="129"/>
      <c r="D1620" s="129"/>
      <c r="E1620" s="129"/>
      <c r="F1620" s="84"/>
      <c r="I1620" t="s">
        <v>103</v>
      </c>
      <c r="J1620" t="s">
        <v>1875</v>
      </c>
      <c r="K1620" t="s">
        <v>1143</v>
      </c>
      <c r="L1620" t="s">
        <v>928</v>
      </c>
      <c r="M1620" s="83"/>
      <c r="N1620" s="83"/>
      <c r="O1620" s="82"/>
    </row>
    <row r="1621" spans="1:18" x14ac:dyDescent="0.25">
      <c r="A1621" s="87"/>
      <c r="B1621" s="86"/>
      <c r="C1621" s="129"/>
      <c r="D1621" s="129"/>
      <c r="E1621" s="129"/>
      <c r="F1621" s="84"/>
      <c r="I1621" t="s">
        <v>103</v>
      </c>
      <c r="J1621" t="s">
        <v>695</v>
      </c>
      <c r="K1621" t="s">
        <v>1143</v>
      </c>
      <c r="L1621" t="s">
        <v>483</v>
      </c>
      <c r="M1621" s="83"/>
      <c r="N1621" s="83"/>
      <c r="O1621" s="82"/>
    </row>
    <row r="1622" spans="1:18" s="1" customFormat="1" x14ac:dyDescent="0.25">
      <c r="A1622" s="81"/>
      <c r="B1622" s="79"/>
      <c r="C1622" s="77"/>
      <c r="D1622" s="77"/>
      <c r="E1622" s="77"/>
      <c r="F1622" s="75"/>
      <c r="G1622" s="19"/>
      <c r="H1622" s="19"/>
      <c r="I1622" s="1" t="s">
        <v>103</v>
      </c>
      <c r="J1622" s="1" t="s">
        <v>762</v>
      </c>
      <c r="K1622" s="1" t="s">
        <v>1143</v>
      </c>
      <c r="L1622" s="1" t="s">
        <v>483</v>
      </c>
      <c r="M1622" s="73"/>
      <c r="N1622" s="73"/>
      <c r="O1622" s="71"/>
      <c r="Q1622" s="42"/>
      <c r="R1622" s="42"/>
    </row>
    <row r="1623" spans="1:18" x14ac:dyDescent="0.25">
      <c r="A1623" s="80">
        <f>$A$2+430</f>
        <v>431</v>
      </c>
      <c r="B1623" s="78">
        <v>20</v>
      </c>
      <c r="C1623" s="76">
        <v>1</v>
      </c>
      <c r="D1623" s="76">
        <v>1733</v>
      </c>
      <c r="E1623" s="76">
        <f>F1623-4</f>
        <v>514</v>
      </c>
      <c r="F1623" s="74">
        <v>518</v>
      </c>
      <c r="I1623" t="s">
        <v>27</v>
      </c>
      <c r="J1623" s="127" t="s">
        <v>930</v>
      </c>
      <c r="K1623" s="127" t="s">
        <v>932</v>
      </c>
      <c r="L1623" s="1" t="s">
        <v>483</v>
      </c>
      <c r="M1623" s="72" t="s">
        <v>1699</v>
      </c>
      <c r="N1623" s="72" t="s">
        <v>1982</v>
      </c>
      <c r="O1623" s="70"/>
    </row>
    <row r="1624" spans="1:18" s="1" customFormat="1" x14ac:dyDescent="0.25">
      <c r="A1624" s="81"/>
      <c r="B1624" s="79"/>
      <c r="C1624" s="77"/>
      <c r="D1624" s="77"/>
      <c r="E1624" s="77"/>
      <c r="F1624" s="75"/>
      <c r="G1624" s="19"/>
      <c r="H1624" s="19"/>
      <c r="I1624" s="1" t="s">
        <v>27</v>
      </c>
      <c r="J1624" s="128" t="s">
        <v>1983</v>
      </c>
      <c r="K1624" s="128" t="s">
        <v>932</v>
      </c>
      <c r="L1624" s="1" t="s">
        <v>483</v>
      </c>
      <c r="M1624" s="73"/>
      <c r="N1624" s="73"/>
      <c r="O1624" s="71"/>
      <c r="Q1624" s="42"/>
      <c r="R1624" s="42"/>
    </row>
    <row r="1625" spans="1:18" x14ac:dyDescent="0.25">
      <c r="A1625" s="80">
        <f>$A$2+431</f>
        <v>432</v>
      </c>
      <c r="B1625" s="78">
        <v>28</v>
      </c>
      <c r="C1625" s="76">
        <v>1</v>
      </c>
      <c r="D1625" s="76">
        <v>1733</v>
      </c>
      <c r="E1625" s="76">
        <f>F1625-4</f>
        <v>514</v>
      </c>
      <c r="F1625" s="74">
        <v>518</v>
      </c>
      <c r="I1625" t="s">
        <v>27</v>
      </c>
      <c r="J1625" s="127" t="s">
        <v>580</v>
      </c>
      <c r="K1625" s="127" t="s">
        <v>567</v>
      </c>
      <c r="L1625" s="127" t="s">
        <v>1788</v>
      </c>
      <c r="M1625" s="72" t="s">
        <v>523</v>
      </c>
      <c r="N1625" s="72" t="s">
        <v>1784</v>
      </c>
      <c r="O1625" s="70"/>
    </row>
    <row r="1626" spans="1:18" x14ac:dyDescent="0.25">
      <c r="A1626" s="87"/>
      <c r="B1626" s="86"/>
      <c r="C1626" s="129"/>
      <c r="D1626" s="129"/>
      <c r="E1626" s="129"/>
      <c r="F1626" s="84"/>
      <c r="I1626" t="s">
        <v>27</v>
      </c>
      <c r="J1626" s="127" t="s">
        <v>1885</v>
      </c>
      <c r="K1626" s="127" t="s">
        <v>1884</v>
      </c>
      <c r="L1626" s="127" t="s">
        <v>1788</v>
      </c>
      <c r="M1626" s="83"/>
      <c r="N1626" s="83"/>
      <c r="O1626" s="82"/>
    </row>
    <row r="1627" spans="1:18" x14ac:dyDescent="0.25">
      <c r="A1627" s="87"/>
      <c r="B1627" s="86"/>
      <c r="C1627" s="129"/>
      <c r="D1627" s="129"/>
      <c r="E1627" s="129"/>
      <c r="F1627" s="84"/>
      <c r="I1627" t="s">
        <v>27</v>
      </c>
      <c r="J1627" s="127" t="s">
        <v>1984</v>
      </c>
      <c r="K1627" s="127" t="s">
        <v>823</v>
      </c>
      <c r="L1627" s="127" t="s">
        <v>1788</v>
      </c>
      <c r="M1627" s="83"/>
      <c r="N1627" s="83"/>
      <c r="O1627" s="82"/>
    </row>
    <row r="1628" spans="1:18" x14ac:dyDescent="0.25">
      <c r="A1628" s="87"/>
      <c r="B1628" s="86"/>
      <c r="C1628" s="129"/>
      <c r="D1628" s="129"/>
      <c r="E1628" s="129"/>
      <c r="F1628" s="84"/>
      <c r="I1628" t="s">
        <v>27</v>
      </c>
      <c r="J1628" s="127" t="s">
        <v>1985</v>
      </c>
      <c r="K1628" s="127" t="s">
        <v>1986</v>
      </c>
      <c r="L1628" s="127" t="s">
        <v>1794</v>
      </c>
      <c r="M1628" s="83"/>
      <c r="N1628" s="83"/>
      <c r="O1628" s="82"/>
    </row>
    <row r="1629" spans="1:18" x14ac:dyDescent="0.25">
      <c r="A1629" s="87"/>
      <c r="B1629" s="86"/>
      <c r="C1629" s="129"/>
      <c r="D1629" s="129"/>
      <c r="E1629" s="129"/>
      <c r="F1629" s="84"/>
      <c r="I1629" t="s">
        <v>27</v>
      </c>
      <c r="J1629" s="127" t="s">
        <v>123</v>
      </c>
      <c r="K1629" s="127" t="s">
        <v>831</v>
      </c>
      <c r="L1629" s="127" t="s">
        <v>1788</v>
      </c>
      <c r="M1629" s="83"/>
      <c r="N1629" s="83"/>
      <c r="O1629" s="82"/>
    </row>
    <row r="1630" spans="1:18" x14ac:dyDescent="0.25">
      <c r="A1630" s="87"/>
      <c r="B1630" s="86"/>
      <c r="C1630" s="129"/>
      <c r="D1630" s="129"/>
      <c r="E1630" s="129"/>
      <c r="F1630" s="84"/>
      <c r="I1630" t="s">
        <v>27</v>
      </c>
      <c r="J1630" s="127" t="s">
        <v>1987</v>
      </c>
      <c r="K1630" s="127" t="s">
        <v>1886</v>
      </c>
      <c r="L1630" s="127" t="s">
        <v>1788</v>
      </c>
      <c r="M1630" s="83"/>
      <c r="N1630" s="83"/>
      <c r="O1630" s="82"/>
    </row>
    <row r="1631" spans="1:18" x14ac:dyDescent="0.25">
      <c r="A1631" s="87"/>
      <c r="B1631" s="86"/>
      <c r="C1631" s="129"/>
      <c r="D1631" s="129"/>
      <c r="E1631" s="129"/>
      <c r="F1631" s="84"/>
      <c r="I1631" t="s">
        <v>27</v>
      </c>
      <c r="J1631" s="127" t="s">
        <v>246</v>
      </c>
      <c r="K1631" s="127" t="s">
        <v>956</v>
      </c>
      <c r="L1631" s="127" t="s">
        <v>1788</v>
      </c>
      <c r="M1631" s="83"/>
      <c r="N1631" s="83"/>
      <c r="O1631" s="82"/>
    </row>
    <row r="1632" spans="1:18" x14ac:dyDescent="0.25">
      <c r="A1632" s="87"/>
      <c r="B1632" s="86"/>
      <c r="C1632" s="129"/>
      <c r="D1632" s="129"/>
      <c r="E1632" s="129"/>
      <c r="F1632" s="84"/>
      <c r="I1632" t="s">
        <v>27</v>
      </c>
      <c r="J1632" s="127" t="s">
        <v>249</v>
      </c>
      <c r="K1632" s="127" t="s">
        <v>1883</v>
      </c>
      <c r="L1632" s="127" t="s">
        <v>1788</v>
      </c>
      <c r="M1632" s="83"/>
      <c r="N1632" s="83"/>
      <c r="O1632" s="82"/>
    </row>
    <row r="1633" spans="1:18" x14ac:dyDescent="0.25">
      <c r="A1633" s="87"/>
      <c r="B1633" s="86"/>
      <c r="C1633" s="129"/>
      <c r="D1633" s="129"/>
      <c r="E1633" s="129"/>
      <c r="F1633" s="84"/>
      <c r="I1633" t="s">
        <v>27</v>
      </c>
      <c r="J1633" s="127" t="s">
        <v>1952</v>
      </c>
      <c r="K1633" s="127" t="s">
        <v>1889</v>
      </c>
      <c r="L1633" s="127" t="s">
        <v>1788</v>
      </c>
      <c r="M1633" s="83"/>
      <c r="N1633" s="83"/>
      <c r="O1633" s="82"/>
    </row>
    <row r="1634" spans="1:18" x14ac:dyDescent="0.25">
      <c r="A1634" s="87"/>
      <c r="B1634" s="86"/>
      <c r="C1634" s="129"/>
      <c r="D1634" s="129"/>
      <c r="E1634" s="129"/>
      <c r="F1634" s="84"/>
      <c r="I1634" t="s">
        <v>27</v>
      </c>
      <c r="J1634" s="127" t="s">
        <v>513</v>
      </c>
      <c r="K1634" s="127" t="s">
        <v>1890</v>
      </c>
      <c r="L1634" s="127" t="s">
        <v>1788</v>
      </c>
      <c r="M1634" s="83"/>
      <c r="N1634" s="83"/>
      <c r="O1634" s="82"/>
    </row>
    <row r="1635" spans="1:18" x14ac:dyDescent="0.25">
      <c r="A1635" s="87"/>
      <c r="B1635" s="86"/>
      <c r="C1635" s="129"/>
      <c r="D1635" s="129"/>
      <c r="E1635" s="129"/>
      <c r="F1635" s="84"/>
      <c r="I1635" t="s">
        <v>27</v>
      </c>
      <c r="J1635" s="127" t="s">
        <v>504</v>
      </c>
      <c r="K1635" s="127" t="s">
        <v>828</v>
      </c>
      <c r="L1635" s="127" t="s">
        <v>1788</v>
      </c>
      <c r="M1635" s="83"/>
      <c r="N1635" s="83"/>
      <c r="O1635" s="82"/>
    </row>
    <row r="1636" spans="1:18" x14ac:dyDescent="0.25">
      <c r="A1636" s="87"/>
      <c r="B1636" s="86"/>
      <c r="C1636" s="129"/>
      <c r="D1636" s="129"/>
      <c r="E1636" s="129"/>
      <c r="F1636" s="84"/>
      <c r="I1636" t="s">
        <v>27</v>
      </c>
      <c r="J1636" s="127" t="s">
        <v>1988</v>
      </c>
      <c r="K1636" s="127" t="s">
        <v>1887</v>
      </c>
      <c r="L1636" s="127" t="s">
        <v>1788</v>
      </c>
      <c r="M1636" s="83"/>
      <c r="N1636" s="83"/>
      <c r="O1636" s="82"/>
    </row>
    <row r="1637" spans="1:18" x14ac:dyDescent="0.25">
      <c r="A1637" s="87"/>
      <c r="B1637" s="86"/>
      <c r="C1637" s="129"/>
      <c r="D1637" s="129"/>
      <c r="E1637" s="129"/>
      <c r="F1637" s="84"/>
      <c r="I1637" t="s">
        <v>27</v>
      </c>
      <c r="J1637" s="127" t="s">
        <v>1711</v>
      </c>
      <c r="K1637" s="127" t="s">
        <v>823</v>
      </c>
      <c r="L1637" s="127" t="s">
        <v>1794</v>
      </c>
      <c r="M1637" s="83"/>
      <c r="N1637" s="83"/>
      <c r="O1637" s="82"/>
    </row>
    <row r="1638" spans="1:18" s="1" customFormat="1" x14ac:dyDescent="0.25">
      <c r="A1638" s="81"/>
      <c r="B1638" s="79"/>
      <c r="C1638" s="77"/>
      <c r="D1638" s="77"/>
      <c r="E1638" s="77"/>
      <c r="F1638" s="75"/>
      <c r="G1638" s="19"/>
      <c r="H1638" s="19"/>
      <c r="I1638" s="1" t="s">
        <v>27</v>
      </c>
      <c r="J1638" s="128" t="s">
        <v>63</v>
      </c>
      <c r="K1638" s="128" t="s">
        <v>1986</v>
      </c>
      <c r="L1638" s="128" t="s">
        <v>1794</v>
      </c>
      <c r="M1638" s="73"/>
      <c r="N1638" s="73"/>
      <c r="O1638" s="71"/>
      <c r="Q1638" s="42"/>
      <c r="R1638" s="42"/>
    </row>
    <row r="1639" spans="1:18" x14ac:dyDescent="0.25">
      <c r="A1639" s="80">
        <f>$A$2+432</f>
        <v>433</v>
      </c>
      <c r="B1639" s="78">
        <v>3</v>
      </c>
      <c r="C1639" s="76">
        <v>3</v>
      </c>
      <c r="D1639" s="76">
        <v>1733</v>
      </c>
      <c r="E1639" s="76">
        <f>F1639-4</f>
        <v>515</v>
      </c>
      <c r="F1639" s="74">
        <v>519</v>
      </c>
      <c r="I1639" t="s">
        <v>27</v>
      </c>
      <c r="J1639" s="127" t="s">
        <v>1989</v>
      </c>
      <c r="M1639" s="72" t="s">
        <v>594</v>
      </c>
      <c r="N1639" s="72" t="s">
        <v>600</v>
      </c>
      <c r="O1639" s="70" t="s">
        <v>1991</v>
      </c>
      <c r="P1639" t="s">
        <v>1990</v>
      </c>
    </row>
    <row r="1640" spans="1:18" x14ac:dyDescent="0.25">
      <c r="A1640" s="87"/>
      <c r="B1640" s="86"/>
      <c r="C1640" s="129"/>
      <c r="D1640" s="129"/>
      <c r="E1640" s="129"/>
      <c r="F1640" s="84"/>
      <c r="I1640" t="s">
        <v>103</v>
      </c>
      <c r="J1640" s="127" t="s">
        <v>1969</v>
      </c>
      <c r="K1640" t="s">
        <v>1670</v>
      </c>
      <c r="M1640" s="83"/>
      <c r="N1640" s="83"/>
      <c r="O1640" s="82"/>
    </row>
    <row r="1641" spans="1:18" x14ac:dyDescent="0.25">
      <c r="A1641" s="87"/>
      <c r="B1641" s="86"/>
      <c r="C1641" s="129"/>
      <c r="D1641" s="129"/>
      <c r="E1641" s="129"/>
      <c r="F1641" s="84"/>
      <c r="I1641" t="s">
        <v>103</v>
      </c>
      <c r="J1641" t="s">
        <v>57</v>
      </c>
      <c r="K1641" t="s">
        <v>1081</v>
      </c>
      <c r="M1641" s="83"/>
      <c r="N1641" s="83"/>
      <c r="O1641" s="82"/>
    </row>
    <row r="1642" spans="1:18" x14ac:dyDescent="0.25">
      <c r="A1642" s="87"/>
      <c r="B1642" s="86"/>
      <c r="C1642" s="129"/>
      <c r="D1642" s="129"/>
      <c r="E1642" s="129"/>
      <c r="F1642" s="84"/>
      <c r="I1642" t="s">
        <v>103</v>
      </c>
      <c r="J1642" s="127" t="s">
        <v>457</v>
      </c>
      <c r="K1642" t="s">
        <v>1081</v>
      </c>
      <c r="M1642" s="83"/>
      <c r="N1642" s="83"/>
      <c r="O1642" s="82"/>
    </row>
    <row r="1643" spans="1:18" x14ac:dyDescent="0.25">
      <c r="A1643" s="87"/>
      <c r="B1643" s="86"/>
      <c r="C1643" s="129"/>
      <c r="D1643" s="129"/>
      <c r="E1643" s="129"/>
      <c r="F1643" s="84"/>
      <c r="I1643" t="s">
        <v>103</v>
      </c>
      <c r="J1643" s="127" t="s">
        <v>1956</v>
      </c>
      <c r="K1643" t="s">
        <v>1081</v>
      </c>
      <c r="M1643" s="83"/>
      <c r="N1643" s="83"/>
      <c r="O1643" s="82"/>
    </row>
    <row r="1644" spans="1:18" s="1" customFormat="1" x14ac:dyDescent="0.25">
      <c r="A1644" s="81"/>
      <c r="B1644" s="79"/>
      <c r="C1644" s="77"/>
      <c r="D1644" s="77"/>
      <c r="E1644" s="77"/>
      <c r="F1644" s="75"/>
      <c r="G1644" s="19"/>
      <c r="H1644" s="19"/>
      <c r="I1644" s="1" t="s">
        <v>103</v>
      </c>
      <c r="J1644" s="128" t="s">
        <v>1398</v>
      </c>
      <c r="K1644" s="1" t="s">
        <v>1118</v>
      </c>
      <c r="M1644" s="73"/>
      <c r="N1644" s="73"/>
      <c r="O1644" s="71"/>
      <c r="Q1644" s="42"/>
      <c r="R1644" s="42"/>
    </row>
    <row r="1645" spans="1:18" x14ac:dyDescent="0.25">
      <c r="A1645" s="80">
        <f>$A$2+433</f>
        <v>434</v>
      </c>
      <c r="B1645" s="78">
        <v>6</v>
      </c>
      <c r="C1645" s="76">
        <v>3</v>
      </c>
      <c r="D1645" s="76">
        <v>1733</v>
      </c>
      <c r="E1645" s="76">
        <f>F1645-4</f>
        <v>516</v>
      </c>
      <c r="F1645" s="74">
        <v>520</v>
      </c>
      <c r="G1645" s="18" t="s">
        <v>1720</v>
      </c>
      <c r="H1645" s="18" t="s">
        <v>93</v>
      </c>
      <c r="I1645" t="s">
        <v>27</v>
      </c>
      <c r="J1645" s="127" t="s">
        <v>93</v>
      </c>
      <c r="M1645" s="72" t="s">
        <v>1996</v>
      </c>
      <c r="N1645" s="72" t="s">
        <v>20</v>
      </c>
      <c r="O1645" s="70" t="s">
        <v>1992</v>
      </c>
    </row>
    <row r="1646" spans="1:18" x14ac:dyDescent="0.25">
      <c r="A1646" s="87"/>
      <c r="B1646" s="86"/>
      <c r="C1646" s="129"/>
      <c r="D1646" s="129"/>
      <c r="E1646" s="129"/>
      <c r="F1646" s="84"/>
      <c r="J1646" s="127" t="s">
        <v>458</v>
      </c>
      <c r="K1646" t="s">
        <v>1026</v>
      </c>
      <c r="M1646" s="83"/>
      <c r="N1646" s="83"/>
      <c r="O1646" s="82"/>
    </row>
    <row r="1647" spans="1:18" x14ac:dyDescent="0.25">
      <c r="A1647" s="87"/>
      <c r="B1647" s="86"/>
      <c r="C1647" s="129"/>
      <c r="D1647" s="129"/>
      <c r="E1647" s="129"/>
      <c r="F1647" s="84"/>
      <c r="J1647" s="127" t="s">
        <v>1993</v>
      </c>
      <c r="M1647" s="83"/>
      <c r="N1647" s="83"/>
      <c r="O1647" s="82"/>
    </row>
    <row r="1648" spans="1:18" s="1" customFormat="1" x14ac:dyDescent="0.25">
      <c r="A1648" s="81"/>
      <c r="B1648" s="79"/>
      <c r="C1648" s="77"/>
      <c r="D1648" s="77"/>
      <c r="E1648" s="77"/>
      <c r="F1648" s="75"/>
      <c r="G1648" s="19"/>
      <c r="H1648" s="19"/>
      <c r="J1648" s="128" t="s">
        <v>1994</v>
      </c>
      <c r="L1648" s="1" t="s">
        <v>1995</v>
      </c>
      <c r="M1648" s="73"/>
      <c r="N1648" s="73"/>
      <c r="O1648" s="71"/>
      <c r="Q1648" s="42"/>
      <c r="R1648" s="42"/>
    </row>
    <row r="1649" spans="1:18" x14ac:dyDescent="0.25">
      <c r="A1649" s="80">
        <f>$A$2+434</f>
        <v>435</v>
      </c>
      <c r="B1649" s="78">
        <v>10</v>
      </c>
      <c r="C1649" s="76">
        <v>3</v>
      </c>
      <c r="D1649" s="76">
        <v>1733</v>
      </c>
      <c r="E1649" s="76">
        <f>F1649-4</f>
        <v>516</v>
      </c>
      <c r="F1649" s="74">
        <v>520</v>
      </c>
      <c r="G1649" s="18" t="s">
        <v>1997</v>
      </c>
      <c r="H1649" s="18" t="s">
        <v>93</v>
      </c>
      <c r="I1649" t="s">
        <v>27</v>
      </c>
      <c r="J1649" s="127" t="s">
        <v>1997</v>
      </c>
      <c r="M1649" s="72" t="s">
        <v>855</v>
      </c>
      <c r="N1649" s="72" t="s">
        <v>20</v>
      </c>
      <c r="O1649" s="70" t="s">
        <v>1998</v>
      </c>
    </row>
    <row r="1650" spans="1:18" x14ac:dyDescent="0.25">
      <c r="A1650" s="87"/>
      <c r="B1650" s="86"/>
      <c r="C1650" s="129"/>
      <c r="D1650" s="129"/>
      <c r="E1650" s="129"/>
      <c r="F1650" s="84"/>
      <c r="I1650" t="s">
        <v>27</v>
      </c>
      <c r="J1650" s="127" t="s">
        <v>93</v>
      </c>
      <c r="M1650" s="83"/>
      <c r="N1650" s="83"/>
      <c r="O1650" s="82"/>
    </row>
    <row r="1651" spans="1:18" s="1" customFormat="1" x14ac:dyDescent="0.25">
      <c r="A1651" s="81"/>
      <c r="B1651" s="79"/>
      <c r="C1651" s="77"/>
      <c r="D1651" s="77"/>
      <c r="E1651" s="77"/>
      <c r="F1651" s="75"/>
      <c r="G1651" s="19"/>
      <c r="H1651" s="19"/>
      <c r="J1651" s="128" t="s">
        <v>1999</v>
      </c>
      <c r="K1651" s="1" t="s">
        <v>1196</v>
      </c>
      <c r="M1651" s="73"/>
      <c r="N1651" s="73"/>
      <c r="O1651" s="71"/>
      <c r="Q1651" s="42"/>
      <c r="R1651" s="42"/>
    </row>
    <row r="1652" spans="1:18" x14ac:dyDescent="0.25">
      <c r="A1652" s="80">
        <f>$A$2+435</f>
        <v>436</v>
      </c>
      <c r="B1652" s="78">
        <v>11</v>
      </c>
      <c r="C1652" s="76">
        <v>3</v>
      </c>
      <c r="D1652" s="76">
        <v>1733</v>
      </c>
      <c r="E1652" s="76">
        <f>F1652-4</f>
        <v>516</v>
      </c>
      <c r="F1652" s="74">
        <v>520</v>
      </c>
      <c r="G1652" s="18" t="s">
        <v>2000</v>
      </c>
      <c r="H1652" s="18" t="s">
        <v>2005</v>
      </c>
      <c r="I1652" t="s">
        <v>27</v>
      </c>
      <c r="J1652" s="127" t="s">
        <v>2000</v>
      </c>
      <c r="M1652" s="72" t="s">
        <v>1820</v>
      </c>
      <c r="N1652" s="72" t="s">
        <v>9</v>
      </c>
      <c r="O1652" s="70" t="s">
        <v>2004</v>
      </c>
    </row>
    <row r="1653" spans="1:18" x14ac:dyDescent="0.25">
      <c r="A1653" s="87"/>
      <c r="B1653" s="86"/>
      <c r="C1653" s="129"/>
      <c r="D1653" s="129"/>
      <c r="E1653" s="129"/>
      <c r="F1653" s="84"/>
      <c r="J1653" s="127" t="s">
        <v>2001</v>
      </c>
      <c r="K1653" t="s">
        <v>1259</v>
      </c>
      <c r="M1653" s="83"/>
      <c r="N1653" s="83"/>
      <c r="O1653" s="82"/>
    </row>
    <row r="1654" spans="1:18" x14ac:dyDescent="0.25">
      <c r="A1654" s="87"/>
      <c r="B1654" s="86"/>
      <c r="C1654" s="129"/>
      <c r="D1654" s="129"/>
      <c r="E1654" s="129"/>
      <c r="F1654" s="84"/>
      <c r="J1654" s="127" t="s">
        <v>2002</v>
      </c>
      <c r="K1654" t="s">
        <v>1259</v>
      </c>
      <c r="M1654" s="83"/>
      <c r="N1654" s="83"/>
      <c r="O1654" s="82"/>
    </row>
    <row r="1655" spans="1:18" x14ac:dyDescent="0.25">
      <c r="A1655" s="87"/>
      <c r="B1655" s="86"/>
      <c r="C1655" s="129"/>
      <c r="D1655" s="129"/>
      <c r="E1655" s="129"/>
      <c r="F1655" s="84"/>
      <c r="J1655" s="127" t="s">
        <v>1444</v>
      </c>
      <c r="M1655" s="83"/>
      <c r="N1655" s="83"/>
      <c r="O1655" s="82"/>
    </row>
    <row r="1656" spans="1:18" x14ac:dyDescent="0.25">
      <c r="A1656" s="87"/>
      <c r="B1656" s="86"/>
      <c r="C1656" s="129"/>
      <c r="D1656" s="129"/>
      <c r="E1656" s="129"/>
      <c r="F1656" s="84"/>
      <c r="J1656" s="127" t="s">
        <v>1669</v>
      </c>
      <c r="M1656" s="83"/>
      <c r="N1656" s="83"/>
      <c r="O1656" s="82"/>
    </row>
    <row r="1657" spans="1:18" s="1" customFormat="1" x14ac:dyDescent="0.25">
      <c r="A1657" s="81"/>
      <c r="B1657" s="79"/>
      <c r="C1657" s="77"/>
      <c r="D1657" s="77"/>
      <c r="E1657" s="77"/>
      <c r="F1657" s="75"/>
      <c r="G1657" s="19"/>
      <c r="H1657" s="19"/>
      <c r="J1657" s="128" t="s">
        <v>458</v>
      </c>
      <c r="K1657" s="1" t="s">
        <v>2003</v>
      </c>
      <c r="M1657" s="73"/>
      <c r="N1657" s="73"/>
      <c r="O1657" s="71"/>
      <c r="Q1657" s="42"/>
      <c r="R1657" s="42"/>
    </row>
    <row r="1658" spans="1:18" x14ac:dyDescent="0.25">
      <c r="A1658" s="80">
        <f>$A$2+436</f>
        <v>437</v>
      </c>
      <c r="B1658" s="78">
        <v>11</v>
      </c>
      <c r="C1658" s="76">
        <v>3</v>
      </c>
      <c r="D1658" s="76">
        <v>1733</v>
      </c>
      <c r="E1658" s="76">
        <f>F1658-4</f>
        <v>517</v>
      </c>
      <c r="F1658" s="74">
        <v>521</v>
      </c>
      <c r="G1658" s="18" t="s">
        <v>2006</v>
      </c>
      <c r="J1658" s="127" t="s">
        <v>2006</v>
      </c>
      <c r="M1658" s="72" t="s">
        <v>2010</v>
      </c>
      <c r="N1658" s="72" t="s">
        <v>53</v>
      </c>
      <c r="O1658" s="70" t="s">
        <v>2009</v>
      </c>
    </row>
    <row r="1659" spans="1:18" s="1" customFormat="1" x14ac:dyDescent="0.25">
      <c r="A1659" s="81"/>
      <c r="B1659" s="79"/>
      <c r="C1659" s="77"/>
      <c r="D1659" s="77"/>
      <c r="E1659" s="77"/>
      <c r="F1659" s="75"/>
      <c r="G1659" s="19"/>
      <c r="H1659" s="19"/>
      <c r="J1659" s="128" t="s">
        <v>2007</v>
      </c>
      <c r="M1659" s="73"/>
      <c r="N1659" s="73"/>
      <c r="O1659" s="71"/>
      <c r="P1659" s="1" t="s">
        <v>2008</v>
      </c>
      <c r="Q1659" s="42"/>
      <c r="R1659" s="42"/>
    </row>
    <row r="1660" spans="1:18" x14ac:dyDescent="0.25">
      <c r="A1660" s="80">
        <f>$A$2+437</f>
        <v>438</v>
      </c>
      <c r="B1660" s="78">
        <v>11</v>
      </c>
      <c r="C1660" s="76">
        <v>3</v>
      </c>
      <c r="D1660" s="76">
        <v>1733</v>
      </c>
      <c r="E1660" s="76">
        <f>F1660-4</f>
        <v>518</v>
      </c>
      <c r="F1660" s="74">
        <v>522</v>
      </c>
      <c r="G1660" s="18" t="s">
        <v>2011</v>
      </c>
      <c r="H1660" s="18" t="s">
        <v>2013</v>
      </c>
      <c r="J1660" s="127" t="s">
        <v>2011</v>
      </c>
      <c r="M1660" s="72" t="s">
        <v>2019</v>
      </c>
      <c r="N1660" s="72" t="s">
        <v>84</v>
      </c>
      <c r="O1660" s="70" t="s">
        <v>2020</v>
      </c>
    </row>
    <row r="1661" spans="1:18" x14ac:dyDescent="0.25">
      <c r="A1661" s="87"/>
      <c r="B1661" s="86"/>
      <c r="C1661" s="129"/>
      <c r="D1661" s="129"/>
      <c r="E1661" s="129"/>
      <c r="F1661" s="84"/>
      <c r="G1661" s="18" t="s">
        <v>2012</v>
      </c>
      <c r="H1661" s="18" t="s">
        <v>2014</v>
      </c>
      <c r="J1661" s="127" t="s">
        <v>2012</v>
      </c>
      <c r="L1661" t="s">
        <v>2016</v>
      </c>
      <c r="M1661" s="83"/>
      <c r="N1661" s="83"/>
      <c r="O1661" s="82"/>
    </row>
    <row r="1662" spans="1:18" x14ac:dyDescent="0.25">
      <c r="A1662" s="87"/>
      <c r="B1662" s="86"/>
      <c r="C1662" s="129"/>
      <c r="D1662" s="129"/>
      <c r="E1662" s="129"/>
      <c r="F1662" s="84"/>
      <c r="J1662" s="127" t="s">
        <v>2013</v>
      </c>
      <c r="K1662" t="s">
        <v>2015</v>
      </c>
      <c r="M1662" s="83"/>
      <c r="N1662" s="83"/>
      <c r="O1662" s="82"/>
    </row>
    <row r="1663" spans="1:18" x14ac:dyDescent="0.25">
      <c r="A1663" s="87"/>
      <c r="B1663" s="86"/>
      <c r="C1663" s="129"/>
      <c r="D1663" s="129"/>
      <c r="E1663" s="129"/>
      <c r="F1663" s="84"/>
      <c r="J1663" s="127" t="s">
        <v>2014</v>
      </c>
      <c r="K1663" t="s">
        <v>2015</v>
      </c>
      <c r="M1663" s="83"/>
      <c r="N1663" s="83"/>
      <c r="O1663" s="82"/>
    </row>
    <row r="1664" spans="1:18" s="1" customFormat="1" x14ac:dyDescent="0.25">
      <c r="A1664" s="81"/>
      <c r="B1664" s="79"/>
      <c r="C1664" s="77"/>
      <c r="D1664" s="77"/>
      <c r="E1664" s="77"/>
      <c r="F1664" s="75"/>
      <c r="G1664" s="19"/>
      <c r="H1664" s="19"/>
      <c r="I1664" s="1" t="s">
        <v>1540</v>
      </c>
      <c r="J1664" s="128" t="s">
        <v>2017</v>
      </c>
      <c r="L1664" s="1" t="s">
        <v>2018</v>
      </c>
      <c r="M1664" s="73"/>
      <c r="N1664" s="73"/>
      <c r="O1664" s="71"/>
      <c r="Q1664" s="42"/>
      <c r="R1664" s="42"/>
    </row>
    <row r="1665" spans="1:18" x14ac:dyDescent="0.25">
      <c r="A1665" s="80">
        <f>$A$2+438</f>
        <v>439</v>
      </c>
      <c r="B1665" s="78">
        <v>15</v>
      </c>
      <c r="C1665" s="76">
        <v>5</v>
      </c>
      <c r="D1665" s="76">
        <v>1733</v>
      </c>
      <c r="E1665" s="76">
        <f>F1665-4</f>
        <v>519</v>
      </c>
      <c r="F1665" s="74">
        <v>523</v>
      </c>
      <c r="G1665" s="18" t="s">
        <v>400</v>
      </c>
      <c r="H1665" s="18" t="s">
        <v>2021</v>
      </c>
      <c r="I1665" t="s">
        <v>27</v>
      </c>
      <c r="J1665" s="127" t="s">
        <v>400</v>
      </c>
      <c r="M1665" s="72" t="s">
        <v>244</v>
      </c>
      <c r="N1665" s="72" t="s">
        <v>53</v>
      </c>
      <c r="O1665" s="70" t="s">
        <v>2023</v>
      </c>
    </row>
    <row r="1666" spans="1:18" x14ac:dyDescent="0.25">
      <c r="A1666" s="87"/>
      <c r="B1666" s="86"/>
      <c r="C1666" s="129"/>
      <c r="D1666" s="129"/>
      <c r="E1666" s="129"/>
      <c r="F1666" s="84"/>
      <c r="I1666" t="s">
        <v>31</v>
      </c>
      <c r="J1666" s="127" t="s">
        <v>1628</v>
      </c>
      <c r="L1666" t="s">
        <v>2022</v>
      </c>
      <c r="M1666" s="83"/>
      <c r="N1666" s="83"/>
      <c r="O1666" s="82"/>
    </row>
    <row r="1667" spans="1:18" s="1" customFormat="1" x14ac:dyDescent="0.25">
      <c r="A1667" s="81"/>
      <c r="B1667" s="79"/>
      <c r="C1667" s="77"/>
      <c r="D1667" s="77"/>
      <c r="E1667" s="77"/>
      <c r="F1667" s="75"/>
      <c r="G1667" s="19"/>
      <c r="H1667" s="19"/>
      <c r="I1667" s="1" t="s">
        <v>31</v>
      </c>
      <c r="J1667" s="128" t="s">
        <v>2021</v>
      </c>
      <c r="M1667" s="73"/>
      <c r="N1667" s="73"/>
      <c r="O1667" s="71"/>
      <c r="Q1667" s="42"/>
      <c r="R1667" s="42"/>
    </row>
    <row r="1668" spans="1:18" x14ac:dyDescent="0.25">
      <c r="A1668" s="80">
        <f>$A$2+439</f>
        <v>440</v>
      </c>
      <c r="B1668" s="78">
        <v>16</v>
      </c>
      <c r="C1668" s="76">
        <v>5</v>
      </c>
      <c r="D1668" s="76">
        <v>1733</v>
      </c>
      <c r="E1668" s="76">
        <f>F1668-4</f>
        <v>519</v>
      </c>
      <c r="F1668" s="74">
        <v>523</v>
      </c>
      <c r="G1668" s="18" t="s">
        <v>1720</v>
      </c>
      <c r="H1668" s="18" t="s">
        <v>2024</v>
      </c>
      <c r="I1668" t="s">
        <v>339</v>
      </c>
      <c r="J1668" s="127" t="s">
        <v>2024</v>
      </c>
      <c r="M1668" s="72" t="s">
        <v>2027</v>
      </c>
      <c r="N1668" s="72" t="s">
        <v>20</v>
      </c>
      <c r="O1668" s="70" t="s">
        <v>2025</v>
      </c>
    </row>
    <row r="1669" spans="1:18" x14ac:dyDescent="0.25">
      <c r="A1669" s="87"/>
      <c r="B1669" s="86"/>
      <c r="C1669" s="129"/>
      <c r="D1669" s="129"/>
      <c r="E1669" s="129"/>
      <c r="F1669" s="84"/>
      <c r="J1669" s="127" t="s">
        <v>458</v>
      </c>
      <c r="K1669" t="s">
        <v>815</v>
      </c>
      <c r="M1669" s="83"/>
      <c r="N1669" s="83"/>
      <c r="O1669" s="82"/>
    </row>
    <row r="1670" spans="1:18" s="1" customFormat="1" x14ac:dyDescent="0.25">
      <c r="A1670" s="81"/>
      <c r="B1670" s="79"/>
      <c r="C1670" s="77"/>
      <c r="D1670" s="77"/>
      <c r="E1670" s="77"/>
      <c r="F1670" s="75"/>
      <c r="G1670" s="19"/>
      <c r="H1670" s="19"/>
      <c r="I1670" s="1" t="s">
        <v>1540</v>
      </c>
      <c r="J1670" s="128" t="s">
        <v>458</v>
      </c>
      <c r="K1670" s="1" t="s">
        <v>2026</v>
      </c>
      <c r="M1670" s="73"/>
      <c r="N1670" s="73"/>
      <c r="O1670" s="71"/>
      <c r="Q1670" s="42"/>
      <c r="R1670" s="42"/>
    </row>
    <row r="1671" spans="1:18" x14ac:dyDescent="0.25">
      <c r="A1671" s="80">
        <f>$A$2+440</f>
        <v>441</v>
      </c>
      <c r="B1671" s="78">
        <v>19</v>
      </c>
      <c r="C1671" s="76">
        <v>5</v>
      </c>
      <c r="D1671" s="76">
        <v>1733</v>
      </c>
      <c r="E1671" s="76">
        <f>F1671-4</f>
        <v>519</v>
      </c>
      <c r="F1671" s="74">
        <v>523</v>
      </c>
      <c r="I1671" t="s">
        <v>27</v>
      </c>
      <c r="J1671" s="127" t="s">
        <v>1693</v>
      </c>
      <c r="M1671" s="72" t="s">
        <v>594</v>
      </c>
      <c r="N1671" s="72" t="s">
        <v>600</v>
      </c>
      <c r="O1671" s="70"/>
    </row>
    <row r="1672" spans="1:18" x14ac:dyDescent="0.25">
      <c r="A1672" s="87"/>
      <c r="B1672" s="86"/>
      <c r="C1672" s="129"/>
      <c r="D1672" s="129"/>
      <c r="E1672" s="129"/>
      <c r="F1672" s="84"/>
      <c r="I1672" t="s">
        <v>103</v>
      </c>
      <c r="J1672" s="127" t="s">
        <v>1956</v>
      </c>
      <c r="K1672" t="s">
        <v>1081</v>
      </c>
      <c r="M1672" s="83"/>
      <c r="N1672" s="83"/>
      <c r="O1672" s="82"/>
    </row>
    <row r="1673" spans="1:18" x14ac:dyDescent="0.25">
      <c r="A1673" s="87"/>
      <c r="B1673" s="86"/>
      <c r="C1673" s="129"/>
      <c r="D1673" s="129"/>
      <c r="E1673" s="129"/>
      <c r="F1673" s="84"/>
      <c r="I1673" t="s">
        <v>103</v>
      </c>
      <c r="J1673" s="127" t="s">
        <v>1398</v>
      </c>
      <c r="K1673" t="s">
        <v>1118</v>
      </c>
      <c r="M1673" s="83"/>
      <c r="N1673" s="83"/>
      <c r="O1673" s="82"/>
    </row>
    <row r="1674" spans="1:18" x14ac:dyDescent="0.25">
      <c r="A1674" s="87"/>
      <c r="B1674" s="86"/>
      <c r="C1674" s="129"/>
      <c r="D1674" s="129"/>
      <c r="E1674" s="129"/>
      <c r="F1674" s="84"/>
      <c r="I1674" t="s">
        <v>103</v>
      </c>
      <c r="J1674" s="127" t="s">
        <v>24</v>
      </c>
      <c r="K1674" t="s">
        <v>1118</v>
      </c>
      <c r="M1674" s="83"/>
      <c r="N1674" s="83"/>
      <c r="O1674" s="82"/>
    </row>
    <row r="1675" spans="1:18" s="1" customFormat="1" x14ac:dyDescent="0.25">
      <c r="A1675" s="81"/>
      <c r="B1675" s="79"/>
      <c r="C1675" s="77"/>
      <c r="D1675" s="77"/>
      <c r="E1675" s="77"/>
      <c r="F1675" s="75"/>
      <c r="G1675" s="19"/>
      <c r="H1675" s="19"/>
      <c r="I1675" s="1" t="s">
        <v>103</v>
      </c>
      <c r="J1675" s="128" t="s">
        <v>457</v>
      </c>
      <c r="K1675" s="1" t="s">
        <v>1118</v>
      </c>
      <c r="M1675" s="73"/>
      <c r="N1675" s="73"/>
      <c r="O1675" s="71"/>
      <c r="Q1675" s="42"/>
      <c r="R1675" s="42"/>
    </row>
    <row r="1676" spans="1:18" s="55" customFormat="1" x14ac:dyDescent="0.25">
      <c r="A1676" s="57">
        <f>$A$2+441</f>
        <v>442</v>
      </c>
      <c r="B1676" s="64">
        <v>30</v>
      </c>
      <c r="C1676" s="65">
        <v>6</v>
      </c>
      <c r="D1676" s="65">
        <v>1733</v>
      </c>
      <c r="E1676" s="65">
        <f>F1676-4</f>
        <v>520</v>
      </c>
      <c r="F1676" s="66">
        <v>524</v>
      </c>
      <c r="G1676" s="54"/>
      <c r="H1676" s="54"/>
      <c r="M1676" s="15"/>
      <c r="N1676" s="15" t="s">
        <v>2028</v>
      </c>
      <c r="O1676" s="61"/>
      <c r="Q1676" s="56"/>
      <c r="R1676" s="56"/>
    </row>
    <row r="1677" spans="1:18" x14ac:dyDescent="0.25">
      <c r="A1677" s="80">
        <f>$A$2+442</f>
        <v>443</v>
      </c>
      <c r="B1677" s="78">
        <v>30</v>
      </c>
      <c r="C1677" s="76">
        <v>6</v>
      </c>
      <c r="D1677" s="76">
        <v>1733</v>
      </c>
      <c r="E1677" s="76">
        <f>F1677-4</f>
        <v>520</v>
      </c>
      <c r="F1677" s="74">
        <v>524</v>
      </c>
      <c r="G1677" s="18" t="s">
        <v>2029</v>
      </c>
      <c r="H1677" s="18" t="s">
        <v>17</v>
      </c>
      <c r="I1677" t="s">
        <v>27</v>
      </c>
      <c r="J1677" s="127" t="s">
        <v>2029</v>
      </c>
      <c r="L1677" t="s">
        <v>2030</v>
      </c>
      <c r="M1677" s="72" t="s">
        <v>244</v>
      </c>
      <c r="N1677" s="72" t="s">
        <v>20</v>
      </c>
      <c r="O1677" s="70" t="s">
        <v>2032</v>
      </c>
    </row>
    <row r="1678" spans="1:18" s="1" customFormat="1" x14ac:dyDescent="0.25">
      <c r="A1678" s="81"/>
      <c r="B1678" s="79"/>
      <c r="C1678" s="77"/>
      <c r="D1678" s="77"/>
      <c r="E1678" s="77"/>
      <c r="F1678" s="75"/>
      <c r="G1678" s="19"/>
      <c r="H1678" s="19"/>
      <c r="I1678" s="1" t="s">
        <v>27</v>
      </c>
      <c r="J1678" s="128" t="s">
        <v>17</v>
      </c>
      <c r="L1678" s="1" t="s">
        <v>2031</v>
      </c>
      <c r="M1678" s="73"/>
      <c r="N1678" s="73"/>
      <c r="O1678" s="71"/>
      <c r="Q1678" s="42"/>
      <c r="R1678" s="42"/>
    </row>
    <row r="1679" spans="1:18" x14ac:dyDescent="0.25">
      <c r="A1679" s="80">
        <f>$A$2+443</f>
        <v>444</v>
      </c>
      <c r="B1679" s="78">
        <v>12</v>
      </c>
      <c r="C1679" s="76">
        <v>7</v>
      </c>
      <c r="D1679" s="76">
        <v>1733</v>
      </c>
      <c r="E1679" s="76">
        <f>F1679-4</f>
        <v>521</v>
      </c>
      <c r="F1679" s="74">
        <v>525</v>
      </c>
      <c r="G1679" s="18" t="s">
        <v>2033</v>
      </c>
      <c r="H1679" s="18" t="s">
        <v>2034</v>
      </c>
      <c r="J1679" s="127" t="s">
        <v>2033</v>
      </c>
      <c r="L1679" t="s">
        <v>375</v>
      </c>
      <c r="M1679" s="72" t="s">
        <v>2037</v>
      </c>
      <c r="N1679" s="72" t="s">
        <v>468</v>
      </c>
      <c r="O1679" s="70" t="s">
        <v>2036</v>
      </c>
    </row>
    <row r="1680" spans="1:18" x14ac:dyDescent="0.25">
      <c r="A1680" s="87"/>
      <c r="B1680" s="86"/>
      <c r="C1680" s="129"/>
      <c r="D1680" s="129"/>
      <c r="E1680" s="129"/>
      <c r="F1680" s="84"/>
      <c r="I1680" t="s">
        <v>27</v>
      </c>
      <c r="J1680" s="127" t="s">
        <v>2034</v>
      </c>
      <c r="L1680" t="s">
        <v>2031</v>
      </c>
      <c r="M1680" s="83"/>
      <c r="N1680" s="83"/>
      <c r="O1680" s="82"/>
      <c r="P1680" t="s">
        <v>2035</v>
      </c>
    </row>
    <row r="1681" spans="1:18" s="1" customFormat="1" x14ac:dyDescent="0.25">
      <c r="A1681" s="81"/>
      <c r="B1681" s="79"/>
      <c r="C1681" s="77"/>
      <c r="D1681" s="77"/>
      <c r="E1681" s="77"/>
      <c r="F1681" s="75"/>
      <c r="G1681" s="19"/>
      <c r="H1681" s="19"/>
      <c r="J1681" s="128" t="s">
        <v>1197</v>
      </c>
      <c r="M1681" s="73"/>
      <c r="N1681" s="73"/>
      <c r="O1681" s="71"/>
      <c r="Q1681" s="42"/>
      <c r="R1681" s="42"/>
    </row>
    <row r="1682" spans="1:18" s="55" customFormat="1" ht="13.5" customHeight="1" x14ac:dyDescent="0.25">
      <c r="A1682" s="57">
        <f>$A$2+444</f>
        <v>445</v>
      </c>
      <c r="B1682" s="64">
        <v>19</v>
      </c>
      <c r="C1682" s="65">
        <v>7</v>
      </c>
      <c r="D1682" s="65">
        <v>1733</v>
      </c>
      <c r="E1682" s="65">
        <f>F1682-4</f>
        <v>521</v>
      </c>
      <c r="F1682" s="66">
        <v>525</v>
      </c>
      <c r="G1682" s="54" t="s">
        <v>1623</v>
      </c>
      <c r="H1682" s="54" t="s">
        <v>2038</v>
      </c>
      <c r="I1682" s="55" t="s">
        <v>27</v>
      </c>
      <c r="J1682" s="55" t="s">
        <v>2038</v>
      </c>
      <c r="K1682" s="55" t="s">
        <v>1675</v>
      </c>
      <c r="M1682" s="15" t="s">
        <v>1820</v>
      </c>
      <c r="N1682" s="15" t="s">
        <v>20</v>
      </c>
      <c r="O1682" s="61" t="s">
        <v>2039</v>
      </c>
      <c r="Q1682" s="56"/>
      <c r="R1682" s="56"/>
    </row>
    <row r="1683" spans="1:18" x14ac:dyDescent="0.25">
      <c r="A1683" s="80">
        <f>$A$2+445</f>
        <v>446</v>
      </c>
      <c r="B1683" s="78">
        <v>31</v>
      </c>
      <c r="C1683" s="76">
        <v>8</v>
      </c>
      <c r="D1683" s="76">
        <v>1733</v>
      </c>
      <c r="E1683" s="76">
        <f>F1683-4</f>
        <v>522</v>
      </c>
      <c r="F1683" s="74">
        <v>526</v>
      </c>
      <c r="I1683" t="s">
        <v>27</v>
      </c>
      <c r="J1683" s="127" t="s">
        <v>17</v>
      </c>
      <c r="M1683" s="72" t="s">
        <v>206</v>
      </c>
      <c r="N1683" s="72" t="s">
        <v>1544</v>
      </c>
      <c r="O1683" s="70" t="s">
        <v>2042</v>
      </c>
      <c r="P1683" t="s">
        <v>2043</v>
      </c>
    </row>
    <row r="1684" spans="1:18" x14ac:dyDescent="0.25">
      <c r="A1684" s="87"/>
      <c r="B1684" s="86"/>
      <c r="C1684" s="129"/>
      <c r="D1684" s="129"/>
      <c r="E1684" s="129"/>
      <c r="F1684" s="84"/>
      <c r="J1684" s="127" t="s">
        <v>2040</v>
      </c>
      <c r="M1684" s="83"/>
      <c r="N1684" s="83"/>
      <c r="O1684" s="82"/>
    </row>
    <row r="1685" spans="1:18" s="52" customFormat="1" x14ac:dyDescent="0.25">
      <c r="A1685" s="81"/>
      <c r="B1685" s="79"/>
      <c r="C1685" s="77"/>
      <c r="D1685" s="77"/>
      <c r="E1685" s="77"/>
      <c r="F1685" s="75"/>
      <c r="G1685" s="53"/>
      <c r="H1685" s="53"/>
      <c r="J1685" s="130" t="s">
        <v>2041</v>
      </c>
      <c r="L1685" s="52" t="s">
        <v>389</v>
      </c>
      <c r="M1685" s="73"/>
      <c r="N1685" s="73"/>
      <c r="O1685" s="71"/>
      <c r="Q1685" s="42"/>
      <c r="R1685" s="42"/>
    </row>
    <row r="1686" spans="1:18" x14ac:dyDescent="0.25">
      <c r="A1686" s="80">
        <f>$A$2+446</f>
        <v>447</v>
      </c>
      <c r="B1686" s="78">
        <v>9</v>
      </c>
      <c r="C1686" s="76">
        <v>9</v>
      </c>
      <c r="D1686" s="76">
        <v>1733</v>
      </c>
      <c r="E1686" s="76">
        <f>F1686-4</f>
        <v>522</v>
      </c>
      <c r="F1686" s="74">
        <v>526</v>
      </c>
      <c r="I1686" t="s">
        <v>27</v>
      </c>
      <c r="J1686" s="127" t="s">
        <v>2044</v>
      </c>
      <c r="M1686" s="72" t="s">
        <v>594</v>
      </c>
      <c r="N1686" s="72" t="s">
        <v>600</v>
      </c>
      <c r="O1686" s="70"/>
    </row>
    <row r="1687" spans="1:18" x14ac:dyDescent="0.25">
      <c r="A1687" s="87"/>
      <c r="B1687" s="86"/>
      <c r="C1687" s="129"/>
      <c r="D1687" s="129"/>
      <c r="E1687" s="129"/>
      <c r="F1687" s="84"/>
      <c r="I1687" t="s">
        <v>103</v>
      </c>
      <c r="J1687" s="127" t="s">
        <v>1956</v>
      </c>
      <c r="K1687" t="s">
        <v>1081</v>
      </c>
      <c r="M1687" s="83"/>
      <c r="N1687" s="83"/>
      <c r="O1687" s="82"/>
    </row>
    <row r="1688" spans="1:18" x14ac:dyDescent="0.25">
      <c r="A1688" s="87"/>
      <c r="B1688" s="86"/>
      <c r="C1688" s="129"/>
      <c r="D1688" s="129"/>
      <c r="E1688" s="129"/>
      <c r="F1688" s="84"/>
      <c r="I1688" t="s">
        <v>103</v>
      </c>
      <c r="J1688" s="127" t="s">
        <v>1398</v>
      </c>
      <c r="K1688" t="s">
        <v>1118</v>
      </c>
      <c r="M1688" s="83"/>
      <c r="N1688" s="83"/>
      <c r="O1688" s="82"/>
    </row>
    <row r="1689" spans="1:18" x14ac:dyDescent="0.25">
      <c r="A1689" s="87"/>
      <c r="B1689" s="86"/>
      <c r="C1689" s="129"/>
      <c r="D1689" s="129"/>
      <c r="E1689" s="129"/>
      <c r="F1689" s="84"/>
      <c r="I1689" t="s">
        <v>103</v>
      </c>
      <c r="J1689" s="127" t="s">
        <v>24</v>
      </c>
      <c r="K1689" t="s">
        <v>1118</v>
      </c>
      <c r="M1689" s="83"/>
      <c r="N1689" s="83"/>
      <c r="O1689" s="82"/>
    </row>
    <row r="1690" spans="1:18" s="1" customFormat="1" x14ac:dyDescent="0.25">
      <c r="A1690" s="81"/>
      <c r="B1690" s="79"/>
      <c r="C1690" s="77"/>
      <c r="D1690" s="77"/>
      <c r="E1690" s="77"/>
      <c r="F1690" s="75"/>
      <c r="G1690" s="19"/>
      <c r="H1690" s="19"/>
      <c r="I1690" s="1" t="s">
        <v>103</v>
      </c>
      <c r="J1690" s="128" t="s">
        <v>457</v>
      </c>
      <c r="K1690" s="1" t="s">
        <v>1118</v>
      </c>
      <c r="M1690" s="73"/>
      <c r="N1690" s="73"/>
      <c r="O1690" s="71"/>
      <c r="Q1690" s="42"/>
      <c r="R1690" s="42"/>
    </row>
    <row r="1691" spans="1:18" x14ac:dyDescent="0.25">
      <c r="A1691" s="80">
        <f>$A$2+447</f>
        <v>448</v>
      </c>
      <c r="B1691" s="78">
        <v>7</v>
      </c>
      <c r="C1691" s="76">
        <v>10</v>
      </c>
      <c r="D1691" s="76">
        <v>1733</v>
      </c>
      <c r="E1691" s="76">
        <f>F1691-4</f>
        <v>523</v>
      </c>
      <c r="F1691" s="74">
        <v>527</v>
      </c>
      <c r="G1691" s="18" t="s">
        <v>1834</v>
      </c>
      <c r="H1691" s="18" t="s">
        <v>871</v>
      </c>
      <c r="I1691" t="s">
        <v>27</v>
      </c>
      <c r="J1691" t="s">
        <v>871</v>
      </c>
      <c r="K1691" s="127" t="s">
        <v>1259</v>
      </c>
      <c r="M1691" s="72" t="s">
        <v>855</v>
      </c>
      <c r="N1691" s="72" t="s">
        <v>20</v>
      </c>
      <c r="O1691" s="70" t="s">
        <v>2046</v>
      </c>
      <c r="P1691" t="s">
        <v>2045</v>
      </c>
    </row>
    <row r="1692" spans="1:18" s="1" customFormat="1" x14ac:dyDescent="0.25">
      <c r="A1692" s="81"/>
      <c r="B1692" s="79"/>
      <c r="C1692" s="77"/>
      <c r="D1692" s="77"/>
      <c r="E1692" s="77"/>
      <c r="F1692" s="75"/>
      <c r="G1692" s="19"/>
      <c r="H1692" s="19"/>
      <c r="J1692" s="1" t="s">
        <v>458</v>
      </c>
      <c r="K1692" s="128" t="s">
        <v>708</v>
      </c>
      <c r="M1692" s="73"/>
      <c r="N1692" s="73"/>
      <c r="O1692" s="71"/>
      <c r="Q1692" s="42"/>
      <c r="R1692" s="42"/>
    </row>
    <row r="1693" spans="1:18" x14ac:dyDescent="0.25">
      <c r="A1693" s="80">
        <f>$A$2+448</f>
        <v>449</v>
      </c>
      <c r="B1693" s="78">
        <v>7</v>
      </c>
      <c r="C1693" s="76">
        <v>10</v>
      </c>
      <c r="D1693" s="76">
        <v>1733</v>
      </c>
      <c r="E1693" s="76">
        <f>F1693-4</f>
        <v>523</v>
      </c>
      <c r="F1693" s="74">
        <v>527</v>
      </c>
      <c r="G1693" s="18" t="s">
        <v>1720</v>
      </c>
      <c r="H1693" s="18" t="s">
        <v>871</v>
      </c>
      <c r="I1693" t="s">
        <v>27</v>
      </c>
      <c r="J1693" t="s">
        <v>871</v>
      </c>
      <c r="M1693" s="72" t="s">
        <v>2047</v>
      </c>
      <c r="N1693" s="72" t="s">
        <v>20</v>
      </c>
      <c r="O1693" s="70" t="s">
        <v>2048</v>
      </c>
    </row>
    <row r="1694" spans="1:18" s="1" customFormat="1" x14ac:dyDescent="0.25">
      <c r="A1694" s="81"/>
      <c r="B1694" s="79"/>
      <c r="C1694" s="77"/>
      <c r="D1694" s="77"/>
      <c r="E1694" s="77"/>
      <c r="F1694" s="75"/>
      <c r="G1694" s="19"/>
      <c r="H1694" s="19"/>
      <c r="J1694" s="1" t="s">
        <v>1024</v>
      </c>
      <c r="M1694" s="73"/>
      <c r="N1694" s="73"/>
      <c r="O1694" s="71"/>
      <c r="Q1694" s="42"/>
      <c r="R1694" s="42"/>
    </row>
    <row r="1695" spans="1:18" x14ac:dyDescent="0.25">
      <c r="A1695" s="80">
        <f>$A$2+449</f>
        <v>450</v>
      </c>
      <c r="B1695" s="78">
        <v>13</v>
      </c>
      <c r="C1695" s="76">
        <v>10</v>
      </c>
      <c r="D1695" s="76">
        <v>1733</v>
      </c>
      <c r="E1695" s="76">
        <f>F1695-4</f>
        <v>523</v>
      </c>
      <c r="F1695" s="74">
        <v>527</v>
      </c>
      <c r="H1695" s="18" t="s">
        <v>317</v>
      </c>
      <c r="I1695" t="s">
        <v>27</v>
      </c>
      <c r="J1695" s="127" t="s">
        <v>1888</v>
      </c>
      <c r="M1695" s="72"/>
      <c r="N1695" s="72" t="s">
        <v>9</v>
      </c>
      <c r="O1695" s="70" t="s">
        <v>2049</v>
      </c>
    </row>
    <row r="1696" spans="1:18" s="1" customFormat="1" x14ac:dyDescent="0.25">
      <c r="A1696" s="81"/>
      <c r="B1696" s="79"/>
      <c r="C1696" s="77"/>
      <c r="D1696" s="77"/>
      <c r="E1696" s="77"/>
      <c r="F1696" s="75"/>
      <c r="G1696" s="19"/>
      <c r="H1696" s="19"/>
      <c r="J1696" s="128" t="s">
        <v>317</v>
      </c>
      <c r="M1696" s="73"/>
      <c r="N1696" s="73"/>
      <c r="O1696" s="71"/>
      <c r="Q1696" s="42"/>
      <c r="R1696" s="42"/>
    </row>
    <row r="1697" spans="1:18" x14ac:dyDescent="0.25">
      <c r="A1697" s="80">
        <f>$A$2+450</f>
        <v>451</v>
      </c>
      <c r="B1697" s="78">
        <v>13</v>
      </c>
      <c r="C1697" s="76">
        <v>10</v>
      </c>
      <c r="D1697" s="76">
        <v>1733</v>
      </c>
      <c r="E1697" s="76">
        <f>F1697-4</f>
        <v>523</v>
      </c>
      <c r="F1697" s="74">
        <v>527</v>
      </c>
      <c r="G1697" s="18" t="s">
        <v>338</v>
      </c>
      <c r="H1697" s="18" t="s">
        <v>2050</v>
      </c>
      <c r="I1697" t="s">
        <v>27</v>
      </c>
      <c r="J1697" s="127" t="s">
        <v>338</v>
      </c>
      <c r="M1697" s="72" t="s">
        <v>13</v>
      </c>
      <c r="N1697" s="72" t="s">
        <v>20</v>
      </c>
      <c r="O1697" s="70" t="s">
        <v>2051</v>
      </c>
    </row>
    <row r="1698" spans="1:18" x14ac:dyDescent="0.25">
      <c r="A1698" s="87"/>
      <c r="B1698" s="86"/>
      <c r="C1698" s="129"/>
      <c r="D1698" s="129"/>
      <c r="E1698" s="129"/>
      <c r="F1698" s="84"/>
      <c r="J1698" s="127" t="s">
        <v>2050</v>
      </c>
      <c r="M1698" s="83"/>
      <c r="N1698" s="83"/>
      <c r="O1698" s="82"/>
    </row>
    <row r="1699" spans="1:18" s="1" customFormat="1" x14ac:dyDescent="0.25">
      <c r="A1699" s="81"/>
      <c r="B1699" s="79"/>
      <c r="C1699" s="77"/>
      <c r="D1699" s="77"/>
      <c r="E1699" s="77"/>
      <c r="F1699" s="75"/>
      <c r="G1699" s="19"/>
      <c r="H1699" s="19"/>
      <c r="J1699" s="128" t="s">
        <v>2013</v>
      </c>
      <c r="M1699" s="73"/>
      <c r="N1699" s="73"/>
      <c r="O1699" s="71"/>
      <c r="Q1699" s="42"/>
      <c r="R1699" s="42"/>
    </row>
    <row r="1700" spans="1:18" x14ac:dyDescent="0.25">
      <c r="A1700" s="80">
        <f>$A$2+451</f>
        <v>452</v>
      </c>
      <c r="B1700" s="78">
        <v>13</v>
      </c>
      <c r="C1700" s="76">
        <v>10</v>
      </c>
      <c r="D1700" s="76">
        <v>1733</v>
      </c>
      <c r="E1700" s="76">
        <f>F1700-4</f>
        <v>524</v>
      </c>
      <c r="F1700" s="74">
        <v>528</v>
      </c>
      <c r="G1700" s="18" t="s">
        <v>1720</v>
      </c>
      <c r="H1700" s="18" t="s">
        <v>773</v>
      </c>
      <c r="I1700" t="s">
        <v>27</v>
      </c>
      <c r="J1700" s="127" t="s">
        <v>773</v>
      </c>
      <c r="M1700" s="72" t="s">
        <v>855</v>
      </c>
      <c r="N1700" s="72" t="s">
        <v>20</v>
      </c>
      <c r="O1700" s="70" t="s">
        <v>2052</v>
      </c>
    </row>
    <row r="1701" spans="1:18" x14ac:dyDescent="0.25">
      <c r="A1701" s="87"/>
      <c r="B1701" s="86"/>
      <c r="C1701" s="129"/>
      <c r="D1701" s="129"/>
      <c r="E1701" s="129"/>
      <c r="F1701" s="84"/>
      <c r="I1701" t="s">
        <v>103</v>
      </c>
      <c r="J1701" s="127" t="s">
        <v>835</v>
      </c>
      <c r="M1701" s="83"/>
      <c r="N1701" s="83"/>
      <c r="O1701" s="82"/>
    </row>
    <row r="1702" spans="1:18" x14ac:dyDescent="0.25">
      <c r="A1702" s="87"/>
      <c r="B1702" s="86"/>
      <c r="C1702" s="129"/>
      <c r="D1702" s="129"/>
      <c r="E1702" s="129"/>
      <c r="F1702" s="84"/>
      <c r="I1702" t="s">
        <v>103</v>
      </c>
      <c r="J1702" s="127" t="s">
        <v>1875</v>
      </c>
      <c r="K1702" t="s">
        <v>815</v>
      </c>
      <c r="M1702" s="83"/>
      <c r="N1702" s="83"/>
      <c r="O1702" s="82"/>
    </row>
    <row r="1703" spans="1:18" x14ac:dyDescent="0.25">
      <c r="A1703" s="87"/>
      <c r="B1703" s="86"/>
      <c r="C1703" s="129"/>
      <c r="D1703" s="129"/>
      <c r="E1703" s="129"/>
      <c r="F1703" s="84"/>
      <c r="I1703" t="s">
        <v>1540</v>
      </c>
      <c r="J1703" s="127" t="s">
        <v>2053</v>
      </c>
      <c r="K1703" t="s">
        <v>2054</v>
      </c>
      <c r="M1703" s="83"/>
      <c r="N1703" s="83"/>
      <c r="O1703" s="82"/>
    </row>
    <row r="1704" spans="1:18" s="1" customFormat="1" x14ac:dyDescent="0.25">
      <c r="A1704" s="81"/>
      <c r="B1704" s="79"/>
      <c r="C1704" s="77"/>
      <c r="D1704" s="77"/>
      <c r="E1704" s="77"/>
      <c r="F1704" s="75"/>
      <c r="G1704" s="19"/>
      <c r="H1704" s="19"/>
      <c r="J1704" s="128" t="s">
        <v>458</v>
      </c>
      <c r="K1704" s="1" t="s">
        <v>459</v>
      </c>
      <c r="M1704" s="73"/>
      <c r="N1704" s="73"/>
      <c r="O1704" s="71"/>
      <c r="Q1704" s="42"/>
      <c r="R1704" s="42"/>
    </row>
    <row r="1705" spans="1:18" x14ac:dyDescent="0.25">
      <c r="A1705" s="80">
        <f>$A$2+452</f>
        <v>453</v>
      </c>
      <c r="B1705" s="78">
        <v>15</v>
      </c>
      <c r="C1705" s="76">
        <v>10</v>
      </c>
      <c r="D1705" s="76">
        <v>1733</v>
      </c>
      <c r="E1705" s="76">
        <f>F1705-4</f>
        <v>524</v>
      </c>
      <c r="F1705" s="74">
        <v>528</v>
      </c>
      <c r="G1705" s="18" t="s">
        <v>2055</v>
      </c>
      <c r="H1705" s="18" t="s">
        <v>1243</v>
      </c>
      <c r="I1705" t="s">
        <v>1551</v>
      </c>
      <c r="J1705" s="127" t="s">
        <v>2055</v>
      </c>
      <c r="M1705" s="72" t="s">
        <v>855</v>
      </c>
      <c r="N1705" s="72" t="s">
        <v>20</v>
      </c>
      <c r="O1705" s="70" t="s">
        <v>2057</v>
      </c>
    </row>
    <row r="1706" spans="1:18" x14ac:dyDescent="0.25">
      <c r="A1706" s="87"/>
      <c r="B1706" s="86"/>
      <c r="C1706" s="129"/>
      <c r="D1706" s="129"/>
      <c r="E1706" s="129"/>
      <c r="F1706" s="84"/>
      <c r="I1706" t="s">
        <v>27</v>
      </c>
      <c r="J1706" s="127" t="s">
        <v>1243</v>
      </c>
      <c r="M1706" s="83"/>
      <c r="N1706" s="83"/>
      <c r="O1706" s="82"/>
    </row>
    <row r="1707" spans="1:18" s="1" customFormat="1" x14ac:dyDescent="0.25">
      <c r="A1707" s="81"/>
      <c r="B1707" s="79"/>
      <c r="C1707" s="77"/>
      <c r="D1707" s="77"/>
      <c r="E1707" s="77"/>
      <c r="F1707" s="75"/>
      <c r="G1707" s="19"/>
      <c r="H1707" s="19"/>
      <c r="J1707" s="128" t="s">
        <v>2056</v>
      </c>
      <c r="M1707" s="73"/>
      <c r="N1707" s="73"/>
      <c r="O1707" s="71"/>
      <c r="Q1707" s="42"/>
      <c r="R1707" s="42"/>
    </row>
    <row r="1708" spans="1:18" x14ac:dyDescent="0.25">
      <c r="A1708" s="80">
        <f>$A$2+453</f>
        <v>454</v>
      </c>
      <c r="B1708" s="78">
        <v>4</v>
      </c>
      <c r="C1708" s="76">
        <v>11</v>
      </c>
      <c r="D1708" s="76">
        <v>1733</v>
      </c>
      <c r="E1708" s="76">
        <f>F1708-4</f>
        <v>525</v>
      </c>
      <c r="F1708" s="74">
        <v>529</v>
      </c>
      <c r="I1708" t="s">
        <v>27</v>
      </c>
      <c r="J1708" s="127" t="s">
        <v>2058</v>
      </c>
      <c r="M1708" s="72" t="s">
        <v>594</v>
      </c>
      <c r="N1708" s="72" t="s">
        <v>600</v>
      </c>
      <c r="O1708" s="70" t="s">
        <v>2060</v>
      </c>
      <c r="P1708" t="s">
        <v>2059</v>
      </c>
    </row>
    <row r="1709" spans="1:18" x14ac:dyDescent="0.25">
      <c r="A1709" s="87"/>
      <c r="B1709" s="86"/>
      <c r="C1709" s="129"/>
      <c r="D1709" s="129"/>
      <c r="E1709" s="129"/>
      <c r="F1709" s="84"/>
      <c r="I1709" t="s">
        <v>103</v>
      </c>
      <c r="J1709" s="127" t="s">
        <v>843</v>
      </c>
      <c r="K1709" t="s">
        <v>1670</v>
      </c>
      <c r="M1709" s="83"/>
      <c r="N1709" s="83"/>
      <c r="O1709" s="82"/>
    </row>
    <row r="1710" spans="1:18" x14ac:dyDescent="0.25">
      <c r="A1710" s="87"/>
      <c r="B1710" s="86"/>
      <c r="C1710" s="129"/>
      <c r="D1710" s="129"/>
      <c r="E1710" s="129"/>
      <c r="F1710" s="84"/>
      <c r="I1710" t="s">
        <v>103</v>
      </c>
      <c r="J1710" s="127" t="s">
        <v>24</v>
      </c>
      <c r="K1710" t="s">
        <v>1081</v>
      </c>
      <c r="M1710" s="83"/>
      <c r="N1710" s="83"/>
      <c r="O1710" s="82"/>
    </row>
    <row r="1711" spans="1:18" x14ac:dyDescent="0.25">
      <c r="A1711" s="87"/>
      <c r="B1711" s="86"/>
      <c r="C1711" s="129"/>
      <c r="D1711" s="129"/>
      <c r="E1711" s="129"/>
      <c r="F1711" s="84"/>
      <c r="I1711" t="s">
        <v>103</v>
      </c>
      <c r="J1711" s="127" t="s">
        <v>457</v>
      </c>
      <c r="K1711" t="s">
        <v>1118</v>
      </c>
      <c r="M1711" s="83"/>
      <c r="N1711" s="83"/>
      <c r="O1711" s="82"/>
    </row>
    <row r="1712" spans="1:18" x14ac:dyDescent="0.25">
      <c r="A1712" s="87"/>
      <c r="B1712" s="86"/>
      <c r="C1712" s="129"/>
      <c r="D1712" s="129"/>
      <c r="E1712" s="129"/>
      <c r="F1712" s="84"/>
      <c r="I1712" t="s">
        <v>103</v>
      </c>
      <c r="J1712" s="127" t="s">
        <v>1956</v>
      </c>
      <c r="K1712" t="s">
        <v>1118</v>
      </c>
      <c r="M1712" s="83"/>
      <c r="N1712" s="83"/>
      <c r="O1712" s="82"/>
    </row>
    <row r="1713" spans="1:18" s="1" customFormat="1" x14ac:dyDescent="0.25">
      <c r="A1713" s="81"/>
      <c r="B1713" s="79"/>
      <c r="C1713" s="77"/>
      <c r="D1713" s="77"/>
      <c r="E1713" s="77"/>
      <c r="F1713" s="75"/>
      <c r="G1713" s="19"/>
      <c r="H1713" s="19"/>
      <c r="I1713" s="1" t="s">
        <v>103</v>
      </c>
      <c r="J1713" s="128" t="s">
        <v>1398</v>
      </c>
      <c r="K1713" s="1" t="s">
        <v>1118</v>
      </c>
      <c r="M1713" s="73"/>
      <c r="N1713" s="73"/>
      <c r="O1713" s="71"/>
      <c r="Q1713" s="42"/>
      <c r="R1713" s="42"/>
    </row>
    <row r="1714" spans="1:18" x14ac:dyDescent="0.25">
      <c r="A1714" s="80">
        <f>$A$2+454</f>
        <v>455</v>
      </c>
      <c r="B1714" s="78">
        <v>8</v>
      </c>
      <c r="C1714" s="76">
        <v>11</v>
      </c>
      <c r="D1714" s="76">
        <v>1733</v>
      </c>
      <c r="E1714" s="76">
        <f>F1714-4</f>
        <v>525</v>
      </c>
      <c r="F1714" s="74">
        <v>529</v>
      </c>
      <c r="G1714" s="18" t="s">
        <v>2061</v>
      </c>
      <c r="H1714" s="18" t="s">
        <v>857</v>
      </c>
      <c r="I1714" t="s">
        <v>27</v>
      </c>
      <c r="J1714" s="127" t="s">
        <v>2061</v>
      </c>
      <c r="M1714" s="72"/>
      <c r="N1714" s="72" t="s">
        <v>20</v>
      </c>
      <c r="O1714" s="70" t="s">
        <v>2062</v>
      </c>
    </row>
    <row r="1715" spans="1:18" s="1" customFormat="1" x14ac:dyDescent="0.25">
      <c r="A1715" s="81"/>
      <c r="B1715" s="79"/>
      <c r="C1715" s="77"/>
      <c r="D1715" s="77"/>
      <c r="E1715" s="77"/>
      <c r="F1715" s="75"/>
      <c r="G1715" s="19"/>
      <c r="H1715" s="19"/>
      <c r="I1715" s="1" t="s">
        <v>27</v>
      </c>
      <c r="J1715" s="128" t="s">
        <v>857</v>
      </c>
      <c r="M1715" s="73"/>
      <c r="N1715" s="73"/>
      <c r="O1715" s="71"/>
      <c r="Q1715" s="42"/>
      <c r="R1715" s="42"/>
    </row>
    <row r="1716" spans="1:18" x14ac:dyDescent="0.25">
      <c r="A1716" s="134">
        <f>$A$2+4545</f>
        <v>4546</v>
      </c>
      <c r="B1716" s="133">
        <v>8</v>
      </c>
      <c r="C1716" s="132">
        <v>11</v>
      </c>
      <c r="D1716" s="132">
        <v>1733</v>
      </c>
      <c r="E1716" s="132">
        <f>F1716-4</f>
        <v>526</v>
      </c>
      <c r="F1716" s="131">
        <v>530</v>
      </c>
      <c r="M1716" s="49"/>
      <c r="N1716" s="49"/>
    </row>
  </sheetData>
  <autoFilter ref="A1:X1" xr:uid="{C166D37D-E9B6-410E-B001-5007674F1CE0}"/>
  <mergeCells count="3763">
    <mergeCell ref="O1714:O1715"/>
    <mergeCell ref="N1714:N1715"/>
    <mergeCell ref="M1714:M1715"/>
    <mergeCell ref="F1714:F1715"/>
    <mergeCell ref="E1714:E1715"/>
    <mergeCell ref="D1714:D1715"/>
    <mergeCell ref="C1714:C1715"/>
    <mergeCell ref="B1714:B1715"/>
    <mergeCell ref="A1714:A1715"/>
    <mergeCell ref="O1705:O1707"/>
    <mergeCell ref="N1705:N1707"/>
    <mergeCell ref="M1705:M1707"/>
    <mergeCell ref="F1705:F1707"/>
    <mergeCell ref="E1705:E1707"/>
    <mergeCell ref="D1705:D1707"/>
    <mergeCell ref="C1705:C1707"/>
    <mergeCell ref="B1705:B1707"/>
    <mergeCell ref="A1705:A1707"/>
    <mergeCell ref="O1708:O1713"/>
    <mergeCell ref="N1708:N1713"/>
    <mergeCell ref="M1708:M1713"/>
    <mergeCell ref="F1708:F1713"/>
    <mergeCell ref="E1708:E1713"/>
    <mergeCell ref="D1708:D1713"/>
    <mergeCell ref="C1708:C1713"/>
    <mergeCell ref="B1708:B1713"/>
    <mergeCell ref="A1708:A1713"/>
    <mergeCell ref="O1697:O1699"/>
    <mergeCell ref="N1697:N1699"/>
    <mergeCell ref="M1697:M1699"/>
    <mergeCell ref="F1697:F1699"/>
    <mergeCell ref="E1697:E1699"/>
    <mergeCell ref="D1697:D1699"/>
    <mergeCell ref="C1697:C1699"/>
    <mergeCell ref="B1697:B1699"/>
    <mergeCell ref="A1697:A1699"/>
    <mergeCell ref="O1700:O1704"/>
    <mergeCell ref="N1700:N1704"/>
    <mergeCell ref="M1700:M1704"/>
    <mergeCell ref="F1700:F1704"/>
    <mergeCell ref="E1700:E1704"/>
    <mergeCell ref="D1700:D1704"/>
    <mergeCell ref="C1700:C1704"/>
    <mergeCell ref="B1700:B1704"/>
    <mergeCell ref="A1700:A1704"/>
    <mergeCell ref="O1693:O1694"/>
    <mergeCell ref="N1693:N1694"/>
    <mergeCell ref="M1693:M1694"/>
    <mergeCell ref="F1693:F1694"/>
    <mergeCell ref="E1693:E1694"/>
    <mergeCell ref="D1693:D1694"/>
    <mergeCell ref="C1693:C1694"/>
    <mergeCell ref="B1693:B1694"/>
    <mergeCell ref="A1693:A1694"/>
    <mergeCell ref="O1695:O1696"/>
    <mergeCell ref="N1695:N1696"/>
    <mergeCell ref="M1695:M1696"/>
    <mergeCell ref="F1695:F1696"/>
    <mergeCell ref="E1695:E1696"/>
    <mergeCell ref="D1695:D1696"/>
    <mergeCell ref="C1695:C1696"/>
    <mergeCell ref="B1695:B1696"/>
    <mergeCell ref="A1695:A1696"/>
    <mergeCell ref="O1686:O1690"/>
    <mergeCell ref="N1686:N1690"/>
    <mergeCell ref="M1686:M1690"/>
    <mergeCell ref="F1686:F1690"/>
    <mergeCell ref="E1686:E1690"/>
    <mergeCell ref="D1686:D1690"/>
    <mergeCell ref="C1686:C1690"/>
    <mergeCell ref="B1686:B1690"/>
    <mergeCell ref="A1686:A1690"/>
    <mergeCell ref="O1691:O1692"/>
    <mergeCell ref="N1691:N1692"/>
    <mergeCell ref="M1691:M1692"/>
    <mergeCell ref="F1691:F1692"/>
    <mergeCell ref="E1691:E1692"/>
    <mergeCell ref="D1691:D1692"/>
    <mergeCell ref="C1691:C1692"/>
    <mergeCell ref="B1691:B1692"/>
    <mergeCell ref="A1691:A1692"/>
    <mergeCell ref="O1679:O1681"/>
    <mergeCell ref="N1679:N1681"/>
    <mergeCell ref="M1679:M1681"/>
    <mergeCell ref="F1679:F1681"/>
    <mergeCell ref="E1679:E1681"/>
    <mergeCell ref="D1679:D1681"/>
    <mergeCell ref="C1679:C1681"/>
    <mergeCell ref="B1679:B1681"/>
    <mergeCell ref="A1679:A1681"/>
    <mergeCell ref="O1683:O1685"/>
    <mergeCell ref="N1683:N1685"/>
    <mergeCell ref="M1683:M1685"/>
    <mergeCell ref="F1683:F1685"/>
    <mergeCell ref="E1683:E1685"/>
    <mergeCell ref="D1683:D1685"/>
    <mergeCell ref="C1683:C1685"/>
    <mergeCell ref="B1683:B1685"/>
    <mergeCell ref="A1683:A1685"/>
    <mergeCell ref="O1671:O1675"/>
    <mergeCell ref="N1671:N1675"/>
    <mergeCell ref="M1671:M1675"/>
    <mergeCell ref="F1671:F1675"/>
    <mergeCell ref="E1671:E1675"/>
    <mergeCell ref="D1671:D1675"/>
    <mergeCell ref="C1671:C1675"/>
    <mergeCell ref="B1671:B1675"/>
    <mergeCell ref="A1671:A1675"/>
    <mergeCell ref="O1677:O1678"/>
    <mergeCell ref="N1677:N1678"/>
    <mergeCell ref="M1677:M1678"/>
    <mergeCell ref="F1677:F1678"/>
    <mergeCell ref="E1677:E1678"/>
    <mergeCell ref="D1677:D1678"/>
    <mergeCell ref="C1677:C1678"/>
    <mergeCell ref="B1677:B1678"/>
    <mergeCell ref="A1677:A1678"/>
    <mergeCell ref="O1665:O1667"/>
    <mergeCell ref="N1665:N1667"/>
    <mergeCell ref="M1665:M1667"/>
    <mergeCell ref="F1665:F1667"/>
    <mergeCell ref="E1665:E1667"/>
    <mergeCell ref="D1665:D1667"/>
    <mergeCell ref="C1665:C1667"/>
    <mergeCell ref="B1665:B1667"/>
    <mergeCell ref="A1665:A1667"/>
    <mergeCell ref="O1668:O1670"/>
    <mergeCell ref="N1668:N1670"/>
    <mergeCell ref="M1668:M1670"/>
    <mergeCell ref="F1668:F1670"/>
    <mergeCell ref="E1668:E1670"/>
    <mergeCell ref="D1668:D1670"/>
    <mergeCell ref="C1668:C1670"/>
    <mergeCell ref="B1668:B1670"/>
    <mergeCell ref="A1668:A1670"/>
    <mergeCell ref="O1658:O1659"/>
    <mergeCell ref="N1658:N1659"/>
    <mergeCell ref="M1658:M1659"/>
    <mergeCell ref="F1658:F1659"/>
    <mergeCell ref="E1658:E1659"/>
    <mergeCell ref="D1658:D1659"/>
    <mergeCell ref="C1658:C1659"/>
    <mergeCell ref="B1658:B1659"/>
    <mergeCell ref="A1658:A1659"/>
    <mergeCell ref="O1660:O1664"/>
    <mergeCell ref="N1660:N1664"/>
    <mergeCell ref="M1660:M1664"/>
    <mergeCell ref="F1660:F1664"/>
    <mergeCell ref="E1660:E1664"/>
    <mergeCell ref="D1660:D1664"/>
    <mergeCell ref="C1660:C1664"/>
    <mergeCell ref="B1660:B1664"/>
    <mergeCell ref="A1660:A1664"/>
    <mergeCell ref="O1649:O1651"/>
    <mergeCell ref="N1649:N1651"/>
    <mergeCell ref="M1649:M1651"/>
    <mergeCell ref="F1649:F1651"/>
    <mergeCell ref="E1649:E1651"/>
    <mergeCell ref="D1649:D1651"/>
    <mergeCell ref="C1649:C1651"/>
    <mergeCell ref="B1649:B1651"/>
    <mergeCell ref="A1649:A1651"/>
    <mergeCell ref="O1652:O1657"/>
    <mergeCell ref="N1652:N1657"/>
    <mergeCell ref="M1652:M1657"/>
    <mergeCell ref="F1652:F1657"/>
    <mergeCell ref="E1652:E1657"/>
    <mergeCell ref="D1652:D1657"/>
    <mergeCell ref="C1652:C1657"/>
    <mergeCell ref="B1652:B1657"/>
    <mergeCell ref="A1652:A1657"/>
    <mergeCell ref="O1639:O1644"/>
    <mergeCell ref="N1639:N1644"/>
    <mergeCell ref="M1639:M1644"/>
    <mergeCell ref="F1639:F1644"/>
    <mergeCell ref="E1639:E1644"/>
    <mergeCell ref="D1639:D1644"/>
    <mergeCell ref="C1639:C1644"/>
    <mergeCell ref="B1639:B1644"/>
    <mergeCell ref="A1639:A1644"/>
    <mergeCell ref="O1645:O1648"/>
    <mergeCell ref="N1645:N1648"/>
    <mergeCell ref="M1645:M1648"/>
    <mergeCell ref="F1645:F1648"/>
    <mergeCell ref="E1645:E1648"/>
    <mergeCell ref="D1645:D1648"/>
    <mergeCell ref="C1645:C1648"/>
    <mergeCell ref="B1645:B1648"/>
    <mergeCell ref="A1645:A1648"/>
    <mergeCell ref="O1623:O1624"/>
    <mergeCell ref="N1623:N1624"/>
    <mergeCell ref="M1623:M1624"/>
    <mergeCell ref="F1623:F1624"/>
    <mergeCell ref="E1623:E1624"/>
    <mergeCell ref="D1623:D1624"/>
    <mergeCell ref="C1623:C1624"/>
    <mergeCell ref="B1623:B1624"/>
    <mergeCell ref="A1623:A1624"/>
    <mergeCell ref="O1625:O1638"/>
    <mergeCell ref="N1625:N1638"/>
    <mergeCell ref="M1625:M1638"/>
    <mergeCell ref="F1625:F1638"/>
    <mergeCell ref="E1625:E1638"/>
    <mergeCell ref="D1625:D1638"/>
    <mergeCell ref="C1625:C1638"/>
    <mergeCell ref="B1625:B1638"/>
    <mergeCell ref="A1625:A1638"/>
    <mergeCell ref="O1611:O1617"/>
    <mergeCell ref="N1611:N1617"/>
    <mergeCell ref="M1611:M1617"/>
    <mergeCell ref="F1611:F1617"/>
    <mergeCell ref="E1611:E1617"/>
    <mergeCell ref="D1611:D1617"/>
    <mergeCell ref="C1611:C1617"/>
    <mergeCell ref="B1611:B1617"/>
    <mergeCell ref="A1611:A1617"/>
    <mergeCell ref="O1618:O1622"/>
    <mergeCell ref="N1618:N1622"/>
    <mergeCell ref="M1618:M1622"/>
    <mergeCell ref="F1618:F1622"/>
    <mergeCell ref="E1618:E1622"/>
    <mergeCell ref="D1618:D1622"/>
    <mergeCell ref="C1618:C1622"/>
    <mergeCell ref="B1618:B1622"/>
    <mergeCell ref="A1618:A1622"/>
    <mergeCell ref="M1600:M1606"/>
    <mergeCell ref="N1600:N1606"/>
    <mergeCell ref="O1600:O1606"/>
    <mergeCell ref="F1600:F1606"/>
    <mergeCell ref="E1600:E1606"/>
    <mergeCell ref="D1600:D1606"/>
    <mergeCell ref="C1600:C1606"/>
    <mergeCell ref="B1600:B1606"/>
    <mergeCell ref="A1600:A1606"/>
    <mergeCell ref="O1607:O1610"/>
    <mergeCell ref="N1607:N1610"/>
    <mergeCell ref="M1607:M1610"/>
    <mergeCell ref="F1607:F1610"/>
    <mergeCell ref="E1607:E1610"/>
    <mergeCell ref="D1607:D1610"/>
    <mergeCell ref="C1607:C1610"/>
    <mergeCell ref="B1607:B1610"/>
    <mergeCell ref="A1607:A1610"/>
    <mergeCell ref="O1556:O1557"/>
    <mergeCell ref="N1556:N1557"/>
    <mergeCell ref="M1556:M1557"/>
    <mergeCell ref="F1556:F1557"/>
    <mergeCell ref="E1556:E1557"/>
    <mergeCell ref="D1556:D1557"/>
    <mergeCell ref="C1556:C1557"/>
    <mergeCell ref="B1556:B1557"/>
    <mergeCell ref="A1556:A1557"/>
    <mergeCell ref="O1543:O1549"/>
    <mergeCell ref="N1543:N1549"/>
    <mergeCell ref="M1543:M1549"/>
    <mergeCell ref="F1543:F1549"/>
    <mergeCell ref="E1543:E1549"/>
    <mergeCell ref="D1543:D1549"/>
    <mergeCell ref="C1543:C1549"/>
    <mergeCell ref="B1543:B1549"/>
    <mergeCell ref="A1543:A1549"/>
    <mergeCell ref="O1550:O1555"/>
    <mergeCell ref="N1550:N1555"/>
    <mergeCell ref="M1550:M1555"/>
    <mergeCell ref="F1550:F1555"/>
    <mergeCell ref="E1550:E1555"/>
    <mergeCell ref="D1550:D1555"/>
    <mergeCell ref="C1550:C1555"/>
    <mergeCell ref="B1550:B1555"/>
    <mergeCell ref="A1550:A1555"/>
    <mergeCell ref="O1535:O1539"/>
    <mergeCell ref="N1535:N1539"/>
    <mergeCell ref="M1535:M1539"/>
    <mergeCell ref="F1535:F1539"/>
    <mergeCell ref="E1535:E1539"/>
    <mergeCell ref="D1535:D1539"/>
    <mergeCell ref="C1535:C1539"/>
    <mergeCell ref="B1535:B1539"/>
    <mergeCell ref="A1535:A1539"/>
    <mergeCell ref="O1541:O1542"/>
    <mergeCell ref="N1541:N1542"/>
    <mergeCell ref="M1541:M1542"/>
    <mergeCell ref="F1541:F1542"/>
    <mergeCell ref="E1541:E1542"/>
    <mergeCell ref="D1541:D1542"/>
    <mergeCell ref="C1541:C1542"/>
    <mergeCell ref="B1541:B1542"/>
    <mergeCell ref="A1541:A1542"/>
    <mergeCell ref="O1529:O1532"/>
    <mergeCell ref="N1529:N1532"/>
    <mergeCell ref="M1529:M1532"/>
    <mergeCell ref="F1529:F1532"/>
    <mergeCell ref="E1529:E1532"/>
    <mergeCell ref="D1529:D1532"/>
    <mergeCell ref="C1529:C1532"/>
    <mergeCell ref="B1529:B1532"/>
    <mergeCell ref="A1529:A1532"/>
    <mergeCell ref="O1533:O1534"/>
    <mergeCell ref="N1533:N1534"/>
    <mergeCell ref="M1533:M1534"/>
    <mergeCell ref="F1533:F1534"/>
    <mergeCell ref="E1533:E1534"/>
    <mergeCell ref="D1533:D1534"/>
    <mergeCell ref="C1533:C1534"/>
    <mergeCell ref="B1533:B1534"/>
    <mergeCell ref="A1533:A1534"/>
    <mergeCell ref="O1512:O1525"/>
    <mergeCell ref="N1512:N1525"/>
    <mergeCell ref="M1512:M1525"/>
    <mergeCell ref="F1512:F1525"/>
    <mergeCell ref="E1512:E1525"/>
    <mergeCell ref="D1512:D1525"/>
    <mergeCell ref="C1512:C1525"/>
    <mergeCell ref="B1512:B1525"/>
    <mergeCell ref="A1512:A1525"/>
    <mergeCell ref="O1526:O1528"/>
    <mergeCell ref="N1526:N1528"/>
    <mergeCell ref="M1526:M1528"/>
    <mergeCell ref="F1526:F1528"/>
    <mergeCell ref="E1526:E1528"/>
    <mergeCell ref="D1526:D1528"/>
    <mergeCell ref="C1526:C1528"/>
    <mergeCell ref="B1526:B1528"/>
    <mergeCell ref="A1526:A1528"/>
    <mergeCell ref="O1504:O1505"/>
    <mergeCell ref="N1504:N1505"/>
    <mergeCell ref="M1504:M1505"/>
    <mergeCell ref="F1504:F1505"/>
    <mergeCell ref="E1504:E1505"/>
    <mergeCell ref="D1504:D1505"/>
    <mergeCell ref="C1504:C1505"/>
    <mergeCell ref="B1504:B1505"/>
    <mergeCell ref="A1504:A1505"/>
    <mergeCell ref="O1506:O1511"/>
    <mergeCell ref="N1506:N1511"/>
    <mergeCell ref="M1506:M1511"/>
    <mergeCell ref="F1506:F1511"/>
    <mergeCell ref="E1506:E1511"/>
    <mergeCell ref="D1506:D1511"/>
    <mergeCell ref="C1506:C1511"/>
    <mergeCell ref="B1506:B1511"/>
    <mergeCell ref="A1506:A1511"/>
    <mergeCell ref="O1498:O1499"/>
    <mergeCell ref="N1498:N1499"/>
    <mergeCell ref="M1498:M1499"/>
    <mergeCell ref="F1498:F1499"/>
    <mergeCell ref="E1498:E1499"/>
    <mergeCell ref="D1498:D1499"/>
    <mergeCell ref="C1498:C1499"/>
    <mergeCell ref="B1498:B1499"/>
    <mergeCell ref="A1498:A1499"/>
    <mergeCell ref="O1501:O1503"/>
    <mergeCell ref="N1501:N1503"/>
    <mergeCell ref="M1501:M1503"/>
    <mergeCell ref="F1501:F1503"/>
    <mergeCell ref="E1501:E1503"/>
    <mergeCell ref="D1501:D1503"/>
    <mergeCell ref="C1501:C1503"/>
    <mergeCell ref="B1501:B1503"/>
    <mergeCell ref="A1501:A1503"/>
    <mergeCell ref="O1490:O1492"/>
    <mergeCell ref="N1490:N1492"/>
    <mergeCell ref="M1490:M1492"/>
    <mergeCell ref="F1490:F1492"/>
    <mergeCell ref="E1490:E1492"/>
    <mergeCell ref="D1490:D1492"/>
    <mergeCell ref="C1490:C1492"/>
    <mergeCell ref="B1490:B1492"/>
    <mergeCell ref="A1490:A1492"/>
    <mergeCell ref="M1493:M1497"/>
    <mergeCell ref="N1493:N1497"/>
    <mergeCell ref="O1493:O1497"/>
    <mergeCell ref="F1493:F1497"/>
    <mergeCell ref="E1493:E1497"/>
    <mergeCell ref="D1493:D1497"/>
    <mergeCell ref="C1493:C1497"/>
    <mergeCell ref="B1493:B1497"/>
    <mergeCell ref="A1493:A1497"/>
    <mergeCell ref="O1480:O1482"/>
    <mergeCell ref="N1480:N1482"/>
    <mergeCell ref="M1480:M1482"/>
    <mergeCell ref="F1480:F1482"/>
    <mergeCell ref="E1480:E1482"/>
    <mergeCell ref="D1480:D1482"/>
    <mergeCell ref="C1480:C1482"/>
    <mergeCell ref="B1480:B1482"/>
    <mergeCell ref="A1480:A1482"/>
    <mergeCell ref="O1484:O1488"/>
    <mergeCell ref="N1484:N1488"/>
    <mergeCell ref="M1484:M1488"/>
    <mergeCell ref="F1484:F1488"/>
    <mergeCell ref="E1484:E1488"/>
    <mergeCell ref="D1484:D1488"/>
    <mergeCell ref="C1484:C1488"/>
    <mergeCell ref="B1484:B1488"/>
    <mergeCell ref="A1484:A1488"/>
    <mergeCell ref="O1469:O1472"/>
    <mergeCell ref="N1469:N1472"/>
    <mergeCell ref="M1469:M1472"/>
    <mergeCell ref="F1469:F1472"/>
    <mergeCell ref="E1469:E1472"/>
    <mergeCell ref="D1469:D1472"/>
    <mergeCell ref="C1469:C1472"/>
    <mergeCell ref="B1469:B1472"/>
    <mergeCell ref="A1469:A1472"/>
    <mergeCell ref="O1473:O1479"/>
    <mergeCell ref="N1473:N1479"/>
    <mergeCell ref="M1473:M1479"/>
    <mergeCell ref="F1473:F1479"/>
    <mergeCell ref="E1473:E1479"/>
    <mergeCell ref="D1473:D1479"/>
    <mergeCell ref="C1473:C1479"/>
    <mergeCell ref="B1473:B1479"/>
    <mergeCell ref="A1473:A1479"/>
    <mergeCell ref="O1464:O1465"/>
    <mergeCell ref="N1464:N1465"/>
    <mergeCell ref="M1464:M1465"/>
    <mergeCell ref="F1464:F1465"/>
    <mergeCell ref="E1464:E1465"/>
    <mergeCell ref="D1464:D1465"/>
    <mergeCell ref="C1464:C1465"/>
    <mergeCell ref="B1464:B1465"/>
    <mergeCell ref="A1464:A1465"/>
    <mergeCell ref="O1467:O1468"/>
    <mergeCell ref="N1467:N1468"/>
    <mergeCell ref="M1467:M1468"/>
    <mergeCell ref="F1467:F1468"/>
    <mergeCell ref="E1467:E1468"/>
    <mergeCell ref="D1467:D1468"/>
    <mergeCell ref="C1467:C1468"/>
    <mergeCell ref="B1467:B1468"/>
    <mergeCell ref="A1467:A1468"/>
    <mergeCell ref="O1456:O1457"/>
    <mergeCell ref="N1456:N1457"/>
    <mergeCell ref="M1456:M1457"/>
    <mergeCell ref="E1456:E1457"/>
    <mergeCell ref="F1456:F1457"/>
    <mergeCell ref="D1456:D1457"/>
    <mergeCell ref="C1456:C1457"/>
    <mergeCell ref="B1456:B1457"/>
    <mergeCell ref="A1456:A1457"/>
    <mergeCell ref="O1458:O1463"/>
    <mergeCell ref="N1458:N1463"/>
    <mergeCell ref="M1458:M1463"/>
    <mergeCell ref="F1458:F1463"/>
    <mergeCell ref="E1458:E1463"/>
    <mergeCell ref="D1458:D1463"/>
    <mergeCell ref="C1458:C1463"/>
    <mergeCell ref="B1458:B1463"/>
    <mergeCell ref="A1458:A1463"/>
    <mergeCell ref="A1450:A1451"/>
    <mergeCell ref="B1450:B1451"/>
    <mergeCell ref="C1450:C1451"/>
    <mergeCell ref="D1450:D1451"/>
    <mergeCell ref="E1450:E1451"/>
    <mergeCell ref="F1450:F1451"/>
    <mergeCell ref="O1450:O1451"/>
    <mergeCell ref="N1450:N1451"/>
    <mergeCell ref="M1450:M1451"/>
    <mergeCell ref="O1454:O1455"/>
    <mergeCell ref="N1454:N1455"/>
    <mergeCell ref="M1454:M1455"/>
    <mergeCell ref="F1454:F1455"/>
    <mergeCell ref="E1454:E1455"/>
    <mergeCell ref="D1454:D1455"/>
    <mergeCell ref="C1454:C1455"/>
    <mergeCell ref="B1454:B1455"/>
    <mergeCell ref="A1454:A1455"/>
    <mergeCell ref="O1441:O1447"/>
    <mergeCell ref="N1441:N1447"/>
    <mergeCell ref="M1441:M1447"/>
    <mergeCell ref="F1441:F1447"/>
    <mergeCell ref="E1441:E1447"/>
    <mergeCell ref="D1441:D1447"/>
    <mergeCell ref="C1441:C1447"/>
    <mergeCell ref="B1441:B1447"/>
    <mergeCell ref="A1441:A1447"/>
    <mergeCell ref="O1448:O1449"/>
    <mergeCell ref="N1448:N1449"/>
    <mergeCell ref="M1448:M1449"/>
    <mergeCell ref="E1448:E1449"/>
    <mergeCell ref="D1448:D1449"/>
    <mergeCell ref="C1448:C1449"/>
    <mergeCell ref="B1448:B1449"/>
    <mergeCell ref="A1448:A1449"/>
    <mergeCell ref="F1448:F1449"/>
    <mergeCell ref="O1437:O1438"/>
    <mergeCell ref="N1437:N1438"/>
    <mergeCell ref="M1437:M1438"/>
    <mergeCell ref="F1437:F1438"/>
    <mergeCell ref="E1437:E1438"/>
    <mergeCell ref="D1437:D1438"/>
    <mergeCell ref="C1437:C1438"/>
    <mergeCell ref="B1437:B1438"/>
    <mergeCell ref="A1437:A1438"/>
    <mergeCell ref="O1439:O1440"/>
    <mergeCell ref="N1439:N1440"/>
    <mergeCell ref="M1439:M1440"/>
    <mergeCell ref="F1439:F1440"/>
    <mergeCell ref="E1439:E1440"/>
    <mergeCell ref="D1439:D1440"/>
    <mergeCell ref="C1439:C1440"/>
    <mergeCell ref="B1439:B1440"/>
    <mergeCell ref="A1439:A1440"/>
    <mergeCell ref="A1413:A1414"/>
    <mergeCell ref="O1416:O1420"/>
    <mergeCell ref="N1416:N1420"/>
    <mergeCell ref="M1416:M1420"/>
    <mergeCell ref="F1416:F1420"/>
    <mergeCell ref="E1416:E1420"/>
    <mergeCell ref="D1416:D1420"/>
    <mergeCell ref="C1416:C1420"/>
    <mergeCell ref="B1416:B1420"/>
    <mergeCell ref="A1416:A1420"/>
    <mergeCell ref="O1421:O1422"/>
    <mergeCell ref="N1421:N1422"/>
    <mergeCell ref="M1421:M1422"/>
    <mergeCell ref="F1421:F1422"/>
    <mergeCell ref="E1421:E1422"/>
    <mergeCell ref="D1421:D1422"/>
    <mergeCell ref="C1421:C1422"/>
    <mergeCell ref="B1421:B1422"/>
    <mergeCell ref="A1421:A1422"/>
    <mergeCell ref="D1413:D1414"/>
    <mergeCell ref="C1413:C1414"/>
    <mergeCell ref="B1413:B1414"/>
    <mergeCell ref="O1423:O1436"/>
    <mergeCell ref="N1423:N1436"/>
    <mergeCell ref="M1423:M1436"/>
    <mergeCell ref="E1423:E1436"/>
    <mergeCell ref="F1423:F1436"/>
    <mergeCell ref="D1423:D1436"/>
    <mergeCell ref="C1423:C1436"/>
    <mergeCell ref="B1423:B1436"/>
    <mergeCell ref="A1423:A1436"/>
    <mergeCell ref="O1406:O1409"/>
    <mergeCell ref="N1406:N1409"/>
    <mergeCell ref="M1406:M1409"/>
    <mergeCell ref="F1406:F1409"/>
    <mergeCell ref="E1406:E1409"/>
    <mergeCell ref="D1406:D1409"/>
    <mergeCell ref="C1406:C1409"/>
    <mergeCell ref="B1406:B1409"/>
    <mergeCell ref="A1406:A1409"/>
    <mergeCell ref="O1410:O1412"/>
    <mergeCell ref="N1410:N1412"/>
    <mergeCell ref="M1410:M1412"/>
    <mergeCell ref="F1410:F1412"/>
    <mergeCell ref="E1410:E1412"/>
    <mergeCell ref="D1410:D1412"/>
    <mergeCell ref="C1410:C1412"/>
    <mergeCell ref="B1410:B1412"/>
    <mergeCell ref="A1410:A1412"/>
    <mergeCell ref="O1413:O1414"/>
    <mergeCell ref="N1413:N1414"/>
    <mergeCell ref="M1413:M1414"/>
    <mergeCell ref="E1413:E1414"/>
    <mergeCell ref="F1413:F1414"/>
    <mergeCell ref="O1397:O1398"/>
    <mergeCell ref="N1397:N1398"/>
    <mergeCell ref="M1397:M1398"/>
    <mergeCell ref="F1397:F1398"/>
    <mergeCell ref="E1397:E1398"/>
    <mergeCell ref="D1397:D1398"/>
    <mergeCell ref="C1397:C1398"/>
    <mergeCell ref="B1397:B1398"/>
    <mergeCell ref="A1397:A1398"/>
    <mergeCell ref="O1399:O1404"/>
    <mergeCell ref="N1399:N1404"/>
    <mergeCell ref="M1399:M1404"/>
    <mergeCell ref="F1399:F1404"/>
    <mergeCell ref="E1399:E1404"/>
    <mergeCell ref="D1399:D1404"/>
    <mergeCell ref="C1399:C1404"/>
    <mergeCell ref="B1399:B1404"/>
    <mergeCell ref="A1399:A1404"/>
    <mergeCell ref="O1388:O1390"/>
    <mergeCell ref="N1388:N1390"/>
    <mergeCell ref="M1388:M1390"/>
    <mergeCell ref="F1388:F1390"/>
    <mergeCell ref="E1388:E1390"/>
    <mergeCell ref="D1388:D1390"/>
    <mergeCell ref="C1388:C1390"/>
    <mergeCell ref="B1388:B1390"/>
    <mergeCell ref="A1388:A1390"/>
    <mergeCell ref="O1391:O1396"/>
    <mergeCell ref="N1391:N1396"/>
    <mergeCell ref="M1391:M1396"/>
    <mergeCell ref="F1391:F1396"/>
    <mergeCell ref="E1391:E1396"/>
    <mergeCell ref="D1391:D1396"/>
    <mergeCell ref="C1391:C1396"/>
    <mergeCell ref="B1391:B1396"/>
    <mergeCell ref="A1391:A1396"/>
    <mergeCell ref="O1378:O1381"/>
    <mergeCell ref="N1378:N1381"/>
    <mergeCell ref="M1378:M1381"/>
    <mergeCell ref="F1378:F1381"/>
    <mergeCell ref="E1378:E1381"/>
    <mergeCell ref="D1378:D1381"/>
    <mergeCell ref="C1378:C1381"/>
    <mergeCell ref="B1378:B1381"/>
    <mergeCell ref="A1378:A1381"/>
    <mergeCell ref="O1382:O1387"/>
    <mergeCell ref="N1382:N1387"/>
    <mergeCell ref="M1382:M1387"/>
    <mergeCell ref="F1382:F1387"/>
    <mergeCell ref="E1382:E1387"/>
    <mergeCell ref="D1382:D1387"/>
    <mergeCell ref="C1382:C1387"/>
    <mergeCell ref="B1382:B1387"/>
    <mergeCell ref="A1382:A1387"/>
    <mergeCell ref="R1358:R1360"/>
    <mergeCell ref="Q1358:Q1360"/>
    <mergeCell ref="O1358:O1360"/>
    <mergeCell ref="N1358:N1360"/>
    <mergeCell ref="M1358:M1360"/>
    <mergeCell ref="F1358:F1360"/>
    <mergeCell ref="E1358:E1360"/>
    <mergeCell ref="D1358:D1360"/>
    <mergeCell ref="C1358:C1360"/>
    <mergeCell ref="B1358:B1360"/>
    <mergeCell ref="A1358:A1360"/>
    <mergeCell ref="Q1361:Q1362"/>
    <mergeCell ref="R1361:R1362"/>
    <mergeCell ref="O1361:O1362"/>
    <mergeCell ref="N1361:N1362"/>
    <mergeCell ref="M1361:M1362"/>
    <mergeCell ref="F1361:F1362"/>
    <mergeCell ref="E1361:E1362"/>
    <mergeCell ref="D1361:D1362"/>
    <mergeCell ref="C1361:C1362"/>
    <mergeCell ref="B1361:B1362"/>
    <mergeCell ref="A1361:A1362"/>
    <mergeCell ref="R1351:R1354"/>
    <mergeCell ref="Q1351:Q1354"/>
    <mergeCell ref="O1351:O1354"/>
    <mergeCell ref="N1351:N1354"/>
    <mergeCell ref="M1351:M1354"/>
    <mergeCell ref="F1351:F1354"/>
    <mergeCell ref="E1351:E1354"/>
    <mergeCell ref="D1351:D1354"/>
    <mergeCell ref="C1351:C1354"/>
    <mergeCell ref="B1351:B1354"/>
    <mergeCell ref="A1351:A1354"/>
    <mergeCell ref="R1355:R1357"/>
    <mergeCell ref="Q1355:Q1357"/>
    <mergeCell ref="O1355:O1357"/>
    <mergeCell ref="N1355:N1357"/>
    <mergeCell ref="M1355:M1357"/>
    <mergeCell ref="F1355:F1357"/>
    <mergeCell ref="E1355:E1357"/>
    <mergeCell ref="D1355:D1357"/>
    <mergeCell ref="C1355:C1357"/>
    <mergeCell ref="B1355:B1357"/>
    <mergeCell ref="A1355:A1357"/>
    <mergeCell ref="R1343:R1346"/>
    <mergeCell ref="Q1343:Q1346"/>
    <mergeCell ref="O1343:O1346"/>
    <mergeCell ref="N1343:N1346"/>
    <mergeCell ref="M1343:M1346"/>
    <mergeCell ref="F1343:F1346"/>
    <mergeCell ref="E1343:E1346"/>
    <mergeCell ref="D1343:D1346"/>
    <mergeCell ref="C1343:C1346"/>
    <mergeCell ref="B1343:B1346"/>
    <mergeCell ref="A1343:A1346"/>
    <mergeCell ref="Q1347:Q1350"/>
    <mergeCell ref="R1347:R1350"/>
    <mergeCell ref="O1347:O1350"/>
    <mergeCell ref="N1347:N1350"/>
    <mergeCell ref="M1347:M1350"/>
    <mergeCell ref="F1347:F1350"/>
    <mergeCell ref="E1347:E1350"/>
    <mergeCell ref="D1347:D1350"/>
    <mergeCell ref="C1347:C1350"/>
    <mergeCell ref="B1347:B1350"/>
    <mergeCell ref="A1347:A1350"/>
    <mergeCell ref="R1324:R1328"/>
    <mergeCell ref="Q1324:Q1328"/>
    <mergeCell ref="M1324:M1328"/>
    <mergeCell ref="N1324:N1328"/>
    <mergeCell ref="O1324:O1328"/>
    <mergeCell ref="F1324:F1328"/>
    <mergeCell ref="E1324:E1328"/>
    <mergeCell ref="D1324:D1328"/>
    <mergeCell ref="C1324:C1328"/>
    <mergeCell ref="B1324:B1328"/>
    <mergeCell ref="A1324:A1328"/>
    <mergeCell ref="R1329:R1342"/>
    <mergeCell ref="Q1329:Q1342"/>
    <mergeCell ref="O1329:O1342"/>
    <mergeCell ref="N1329:N1342"/>
    <mergeCell ref="M1329:M1342"/>
    <mergeCell ref="F1329:F1342"/>
    <mergeCell ref="E1329:E1342"/>
    <mergeCell ref="D1329:D1342"/>
    <mergeCell ref="C1329:C1342"/>
    <mergeCell ref="B1329:B1342"/>
    <mergeCell ref="A1329:A1342"/>
    <mergeCell ref="R1320:R1321"/>
    <mergeCell ref="Q1320:Q1321"/>
    <mergeCell ref="O1320:O1321"/>
    <mergeCell ref="N1320:N1321"/>
    <mergeCell ref="M1320:M1321"/>
    <mergeCell ref="F1320:F1321"/>
    <mergeCell ref="E1320:E1321"/>
    <mergeCell ref="D1320:D1321"/>
    <mergeCell ref="C1320:C1321"/>
    <mergeCell ref="B1320:B1321"/>
    <mergeCell ref="A1320:A1321"/>
    <mergeCell ref="A1322:A1323"/>
    <mergeCell ref="B1322:B1323"/>
    <mergeCell ref="C1322:C1323"/>
    <mergeCell ref="D1322:D1323"/>
    <mergeCell ref="E1322:E1323"/>
    <mergeCell ref="F1322:F1323"/>
    <mergeCell ref="Q1322:Q1323"/>
    <mergeCell ref="R1322:R1323"/>
    <mergeCell ref="O1322:O1323"/>
    <mergeCell ref="N1322:N1323"/>
    <mergeCell ref="M1322:M1323"/>
    <mergeCell ref="Q1315:Q1317"/>
    <mergeCell ref="R1315:R1317"/>
    <mergeCell ref="O1315:O1317"/>
    <mergeCell ref="N1315:N1317"/>
    <mergeCell ref="F1315:F1317"/>
    <mergeCell ref="E1315:E1317"/>
    <mergeCell ref="D1315:D1317"/>
    <mergeCell ref="C1315:C1317"/>
    <mergeCell ref="B1315:B1317"/>
    <mergeCell ref="A1315:A1317"/>
    <mergeCell ref="M1315:M1317"/>
    <mergeCell ref="R1318:R1319"/>
    <mergeCell ref="Q1318:Q1319"/>
    <mergeCell ref="O1318:O1319"/>
    <mergeCell ref="N1318:N1319"/>
    <mergeCell ref="M1318:M1319"/>
    <mergeCell ref="F1318:F1319"/>
    <mergeCell ref="E1318:E1319"/>
    <mergeCell ref="D1318:D1319"/>
    <mergeCell ref="C1318:C1319"/>
    <mergeCell ref="B1318:B1319"/>
    <mergeCell ref="A1318:A1319"/>
    <mergeCell ref="R1233:R1235"/>
    <mergeCell ref="Q1233:Q1235"/>
    <mergeCell ref="O1233:O1235"/>
    <mergeCell ref="N1233:N1235"/>
    <mergeCell ref="M1233:M1235"/>
    <mergeCell ref="F1233:F1235"/>
    <mergeCell ref="E1233:E1235"/>
    <mergeCell ref="D1233:D1235"/>
    <mergeCell ref="C1233:C1235"/>
    <mergeCell ref="B1233:B1235"/>
    <mergeCell ref="A1233:A1235"/>
    <mergeCell ref="R1229:R1230"/>
    <mergeCell ref="Q1229:Q1230"/>
    <mergeCell ref="O1229:O1230"/>
    <mergeCell ref="N1229:N1230"/>
    <mergeCell ref="M1229:M1230"/>
    <mergeCell ref="F1229:F1230"/>
    <mergeCell ref="E1229:E1230"/>
    <mergeCell ref="D1229:D1230"/>
    <mergeCell ref="C1229:C1230"/>
    <mergeCell ref="B1229:B1230"/>
    <mergeCell ref="A1229:A1230"/>
    <mergeCell ref="R1231:R1232"/>
    <mergeCell ref="Q1231:Q1232"/>
    <mergeCell ref="O1231:O1232"/>
    <mergeCell ref="N1231:N1232"/>
    <mergeCell ref="M1231:M1232"/>
    <mergeCell ref="F1231:F1232"/>
    <mergeCell ref="E1231:E1232"/>
    <mergeCell ref="D1231:D1232"/>
    <mergeCell ref="C1231:C1232"/>
    <mergeCell ref="B1231:B1232"/>
    <mergeCell ref="A1231:A1232"/>
    <mergeCell ref="R1220:R1225"/>
    <mergeCell ref="Q1220:Q1225"/>
    <mergeCell ref="O1220:O1225"/>
    <mergeCell ref="N1220:N1225"/>
    <mergeCell ref="M1220:M1225"/>
    <mergeCell ref="F1220:F1225"/>
    <mergeCell ref="E1220:E1225"/>
    <mergeCell ref="D1220:D1225"/>
    <mergeCell ref="C1220:C1225"/>
    <mergeCell ref="B1220:B1225"/>
    <mergeCell ref="A1220:A1225"/>
    <mergeCell ref="R1226:R1228"/>
    <mergeCell ref="Q1226:Q1228"/>
    <mergeCell ref="O1226:O1228"/>
    <mergeCell ref="N1226:N1228"/>
    <mergeCell ref="M1226:M1228"/>
    <mergeCell ref="F1226:F1228"/>
    <mergeCell ref="E1226:E1228"/>
    <mergeCell ref="D1226:D1228"/>
    <mergeCell ref="C1226:C1228"/>
    <mergeCell ref="B1226:B1228"/>
    <mergeCell ref="A1226:A1228"/>
    <mergeCell ref="R1214:R1217"/>
    <mergeCell ref="O1214:O1217"/>
    <mergeCell ref="N1214:N1217"/>
    <mergeCell ref="M1214:M1217"/>
    <mergeCell ref="F1214:F1217"/>
    <mergeCell ref="E1214:E1217"/>
    <mergeCell ref="D1214:D1217"/>
    <mergeCell ref="C1214:C1217"/>
    <mergeCell ref="B1214:B1217"/>
    <mergeCell ref="A1214:A1217"/>
    <mergeCell ref="R1218:R1219"/>
    <mergeCell ref="O1218:O1219"/>
    <mergeCell ref="N1218:N1219"/>
    <mergeCell ref="M1218:M1219"/>
    <mergeCell ref="F1218:F1219"/>
    <mergeCell ref="E1218:E1219"/>
    <mergeCell ref="D1218:D1219"/>
    <mergeCell ref="C1218:C1219"/>
    <mergeCell ref="B1218:B1219"/>
    <mergeCell ref="A1218:A1219"/>
    <mergeCell ref="R1208:R1211"/>
    <mergeCell ref="O1208:O1211"/>
    <mergeCell ref="N1208:N1211"/>
    <mergeCell ref="M1208:M1211"/>
    <mergeCell ref="F1208:F1211"/>
    <mergeCell ref="E1208:E1211"/>
    <mergeCell ref="D1208:D1211"/>
    <mergeCell ref="C1208:C1211"/>
    <mergeCell ref="B1208:B1211"/>
    <mergeCell ref="A1208:A1211"/>
    <mergeCell ref="R1212:R1213"/>
    <mergeCell ref="O1212:O1213"/>
    <mergeCell ref="N1212:N1213"/>
    <mergeCell ref="M1212:M1213"/>
    <mergeCell ref="F1212:F1213"/>
    <mergeCell ref="E1212:E1213"/>
    <mergeCell ref="D1212:D1213"/>
    <mergeCell ref="C1212:C1213"/>
    <mergeCell ref="B1212:B1213"/>
    <mergeCell ref="A1212:A1213"/>
    <mergeCell ref="R1201:R1202"/>
    <mergeCell ref="O1201:O1202"/>
    <mergeCell ref="N1201:N1202"/>
    <mergeCell ref="M1201:M1202"/>
    <mergeCell ref="F1201:F1202"/>
    <mergeCell ref="E1201:E1202"/>
    <mergeCell ref="D1201:D1202"/>
    <mergeCell ref="C1201:C1202"/>
    <mergeCell ref="B1201:B1202"/>
    <mergeCell ref="A1201:A1202"/>
    <mergeCell ref="R1203:R1207"/>
    <mergeCell ref="O1203:O1207"/>
    <mergeCell ref="N1203:N1207"/>
    <mergeCell ref="M1203:M1207"/>
    <mergeCell ref="F1203:F1207"/>
    <mergeCell ref="E1203:E1207"/>
    <mergeCell ref="D1203:D1207"/>
    <mergeCell ref="C1203:C1207"/>
    <mergeCell ref="B1203:B1207"/>
    <mergeCell ref="A1203:A1207"/>
    <mergeCell ref="R1193:R1195"/>
    <mergeCell ref="O1193:O1195"/>
    <mergeCell ref="N1193:N1195"/>
    <mergeCell ref="M1193:M1195"/>
    <mergeCell ref="F1193:F1195"/>
    <mergeCell ref="E1193:E1195"/>
    <mergeCell ref="D1193:D1195"/>
    <mergeCell ref="C1193:C1195"/>
    <mergeCell ref="B1193:B1195"/>
    <mergeCell ref="A1193:A1195"/>
    <mergeCell ref="R1196:R1200"/>
    <mergeCell ref="O1196:O1200"/>
    <mergeCell ref="N1196:N1200"/>
    <mergeCell ref="M1196:M1200"/>
    <mergeCell ref="F1196:F1200"/>
    <mergeCell ref="E1196:E1200"/>
    <mergeCell ref="D1196:D1200"/>
    <mergeCell ref="C1196:C1200"/>
    <mergeCell ref="B1196:B1200"/>
    <mergeCell ref="A1196:A1200"/>
    <mergeCell ref="R1188:R1190"/>
    <mergeCell ref="O1188:O1190"/>
    <mergeCell ref="N1188:N1190"/>
    <mergeCell ref="M1188:M1190"/>
    <mergeCell ref="F1188:F1190"/>
    <mergeCell ref="E1188:E1190"/>
    <mergeCell ref="D1188:D1190"/>
    <mergeCell ref="C1188:C1190"/>
    <mergeCell ref="B1188:B1190"/>
    <mergeCell ref="A1188:A1190"/>
    <mergeCell ref="O1191:O1192"/>
    <mergeCell ref="N1191:N1192"/>
    <mergeCell ref="M1191:M1192"/>
    <mergeCell ref="F1191:F1192"/>
    <mergeCell ref="E1191:E1192"/>
    <mergeCell ref="D1191:D1192"/>
    <mergeCell ref="C1191:C1192"/>
    <mergeCell ref="B1191:B1192"/>
    <mergeCell ref="A1191:A1192"/>
    <mergeCell ref="R1191:R1192"/>
    <mergeCell ref="R1182:R1185"/>
    <mergeCell ref="O1182:O1185"/>
    <mergeCell ref="N1182:N1185"/>
    <mergeCell ref="M1182:M1185"/>
    <mergeCell ref="F1182:F1185"/>
    <mergeCell ref="E1182:E1185"/>
    <mergeCell ref="D1182:D1185"/>
    <mergeCell ref="C1182:C1185"/>
    <mergeCell ref="B1182:B1185"/>
    <mergeCell ref="A1182:A1185"/>
    <mergeCell ref="R1186:R1187"/>
    <mergeCell ref="O1186:O1187"/>
    <mergeCell ref="N1186:N1187"/>
    <mergeCell ref="M1186:M1187"/>
    <mergeCell ref="F1186:F1187"/>
    <mergeCell ref="E1186:E1187"/>
    <mergeCell ref="D1186:D1187"/>
    <mergeCell ref="C1186:C1187"/>
    <mergeCell ref="B1186:B1187"/>
    <mergeCell ref="A1186:A1187"/>
    <mergeCell ref="R1175:R1178"/>
    <mergeCell ref="O1175:O1178"/>
    <mergeCell ref="N1175:N1178"/>
    <mergeCell ref="M1175:M1178"/>
    <mergeCell ref="F1175:F1178"/>
    <mergeCell ref="E1175:E1178"/>
    <mergeCell ref="D1175:D1178"/>
    <mergeCell ref="C1175:C1178"/>
    <mergeCell ref="B1175:B1178"/>
    <mergeCell ref="A1175:A1178"/>
    <mergeCell ref="R1179:R1180"/>
    <mergeCell ref="O1179:O1180"/>
    <mergeCell ref="N1179:N1180"/>
    <mergeCell ref="M1179:M1180"/>
    <mergeCell ref="F1179:F1180"/>
    <mergeCell ref="E1179:E1180"/>
    <mergeCell ref="D1179:D1180"/>
    <mergeCell ref="C1179:C1180"/>
    <mergeCell ref="B1179:B1180"/>
    <mergeCell ref="A1179:A1180"/>
    <mergeCell ref="O1057:O1058"/>
    <mergeCell ref="N1057:N1058"/>
    <mergeCell ref="M1057:M1058"/>
    <mergeCell ref="F1057:F1058"/>
    <mergeCell ref="E1057:E1058"/>
    <mergeCell ref="D1057:D1058"/>
    <mergeCell ref="C1057:C1058"/>
    <mergeCell ref="B1057:B1058"/>
    <mergeCell ref="A1057:A1058"/>
    <mergeCell ref="O1060:O1061"/>
    <mergeCell ref="N1060:N1061"/>
    <mergeCell ref="M1060:M1061"/>
    <mergeCell ref="F1060:F1061"/>
    <mergeCell ref="E1060:E1061"/>
    <mergeCell ref="D1060:D1061"/>
    <mergeCell ref="C1060:C1061"/>
    <mergeCell ref="B1060:B1061"/>
    <mergeCell ref="A1060:A1061"/>
    <mergeCell ref="O1046:O1052"/>
    <mergeCell ref="N1046:N1052"/>
    <mergeCell ref="M1046:M1052"/>
    <mergeCell ref="F1046:F1052"/>
    <mergeCell ref="E1046:E1052"/>
    <mergeCell ref="D1046:D1052"/>
    <mergeCell ref="C1046:C1052"/>
    <mergeCell ref="B1046:B1052"/>
    <mergeCell ref="A1046:A1052"/>
    <mergeCell ref="O1053:O1056"/>
    <mergeCell ref="N1053:N1056"/>
    <mergeCell ref="M1053:M1056"/>
    <mergeCell ref="F1053:F1056"/>
    <mergeCell ref="E1053:E1056"/>
    <mergeCell ref="D1053:D1056"/>
    <mergeCell ref="C1053:C1056"/>
    <mergeCell ref="B1053:B1056"/>
    <mergeCell ref="A1053:A1056"/>
    <mergeCell ref="O1035:O1039"/>
    <mergeCell ref="N1035:N1039"/>
    <mergeCell ref="M1035:M1039"/>
    <mergeCell ref="F1035:F1039"/>
    <mergeCell ref="E1035:E1039"/>
    <mergeCell ref="D1035:D1039"/>
    <mergeCell ref="C1035:C1039"/>
    <mergeCell ref="B1035:B1039"/>
    <mergeCell ref="A1035:A1039"/>
    <mergeCell ref="O1040:O1045"/>
    <mergeCell ref="N1040:N1045"/>
    <mergeCell ref="M1040:M1045"/>
    <mergeCell ref="F1040:F1045"/>
    <mergeCell ref="E1040:E1045"/>
    <mergeCell ref="D1040:D1045"/>
    <mergeCell ref="C1040:C1045"/>
    <mergeCell ref="B1040:B1045"/>
    <mergeCell ref="A1040:A1045"/>
    <mergeCell ref="A1024:A1025"/>
    <mergeCell ref="B1024:B1025"/>
    <mergeCell ref="C1024:C1025"/>
    <mergeCell ref="D1024:D1025"/>
    <mergeCell ref="E1024:E1025"/>
    <mergeCell ref="F1024:F1025"/>
    <mergeCell ref="O1024:O1025"/>
    <mergeCell ref="N1024:N1025"/>
    <mergeCell ref="M1024:M1025"/>
    <mergeCell ref="O1026:O1033"/>
    <mergeCell ref="N1026:N1033"/>
    <mergeCell ref="M1026:M1033"/>
    <mergeCell ref="F1026:F1033"/>
    <mergeCell ref="E1026:E1033"/>
    <mergeCell ref="D1026:D1033"/>
    <mergeCell ref="C1026:C1033"/>
    <mergeCell ref="B1026:B1033"/>
    <mergeCell ref="A1026:A1033"/>
    <mergeCell ref="O1015:O1021"/>
    <mergeCell ref="N1015:N1021"/>
    <mergeCell ref="M1015:M1021"/>
    <mergeCell ref="F1015:F1021"/>
    <mergeCell ref="E1015:E1021"/>
    <mergeCell ref="D1015:D1021"/>
    <mergeCell ref="C1015:C1021"/>
    <mergeCell ref="B1015:B1021"/>
    <mergeCell ref="A1015:A1021"/>
    <mergeCell ref="O1022:O1023"/>
    <mergeCell ref="N1022:N1023"/>
    <mergeCell ref="M1022:M1023"/>
    <mergeCell ref="F1022:F1023"/>
    <mergeCell ref="E1022:E1023"/>
    <mergeCell ref="D1022:D1023"/>
    <mergeCell ref="C1022:C1023"/>
    <mergeCell ref="B1022:B1023"/>
    <mergeCell ref="A1022:A1023"/>
    <mergeCell ref="O1011:O1012"/>
    <mergeCell ref="N1011:N1012"/>
    <mergeCell ref="M1011:M1012"/>
    <mergeCell ref="F1011:F1012"/>
    <mergeCell ref="E1011:E1012"/>
    <mergeCell ref="D1011:D1012"/>
    <mergeCell ref="C1011:C1012"/>
    <mergeCell ref="B1011:B1012"/>
    <mergeCell ref="A1011:A1012"/>
    <mergeCell ref="O1013:O1014"/>
    <mergeCell ref="N1013:N1014"/>
    <mergeCell ref="M1013:M1014"/>
    <mergeCell ref="F1013:F1014"/>
    <mergeCell ref="E1013:E1014"/>
    <mergeCell ref="D1013:D1014"/>
    <mergeCell ref="C1013:C1014"/>
    <mergeCell ref="B1013:B1014"/>
    <mergeCell ref="A1013:A1014"/>
    <mergeCell ref="O1006:O1008"/>
    <mergeCell ref="N1006:N1008"/>
    <mergeCell ref="M1006:M1008"/>
    <mergeCell ref="F1006:F1008"/>
    <mergeCell ref="E1006:E1008"/>
    <mergeCell ref="D1006:D1008"/>
    <mergeCell ref="C1006:C1008"/>
    <mergeCell ref="B1006:B1008"/>
    <mergeCell ref="A1006:A1008"/>
    <mergeCell ref="O1009:O1010"/>
    <mergeCell ref="N1009:N1010"/>
    <mergeCell ref="M1009:M1010"/>
    <mergeCell ref="F1009:F1010"/>
    <mergeCell ref="E1009:E1010"/>
    <mergeCell ref="D1009:D1010"/>
    <mergeCell ref="C1009:C1010"/>
    <mergeCell ref="B1009:B1010"/>
    <mergeCell ref="A1009:A1010"/>
    <mergeCell ref="O1002:O1003"/>
    <mergeCell ref="N1002:N1003"/>
    <mergeCell ref="M1002:M1003"/>
    <mergeCell ref="F1002:F1003"/>
    <mergeCell ref="E1002:E1003"/>
    <mergeCell ref="D1002:D1003"/>
    <mergeCell ref="C1002:C1003"/>
    <mergeCell ref="B1002:B1003"/>
    <mergeCell ref="A1002:A1003"/>
    <mergeCell ref="O1004:O1005"/>
    <mergeCell ref="N1004:N1005"/>
    <mergeCell ref="M1004:M1005"/>
    <mergeCell ref="F1004:F1005"/>
    <mergeCell ref="E1004:E1005"/>
    <mergeCell ref="D1004:D1005"/>
    <mergeCell ref="C1004:C1005"/>
    <mergeCell ref="B1004:B1005"/>
    <mergeCell ref="A1004:A1005"/>
    <mergeCell ref="O995:O997"/>
    <mergeCell ref="N995:N997"/>
    <mergeCell ref="M995:M997"/>
    <mergeCell ref="F995:F997"/>
    <mergeCell ref="E995:E997"/>
    <mergeCell ref="D995:D997"/>
    <mergeCell ref="C995:C997"/>
    <mergeCell ref="B995:B997"/>
    <mergeCell ref="A995:A997"/>
    <mergeCell ref="O999:O1001"/>
    <mergeCell ref="N999:N1001"/>
    <mergeCell ref="M999:M1001"/>
    <mergeCell ref="F999:F1001"/>
    <mergeCell ref="E999:E1001"/>
    <mergeCell ref="D999:D1001"/>
    <mergeCell ref="C999:C1001"/>
    <mergeCell ref="B999:B1001"/>
    <mergeCell ref="A999:A1001"/>
    <mergeCell ref="O984:O987"/>
    <mergeCell ref="N984:N987"/>
    <mergeCell ref="M984:M987"/>
    <mergeCell ref="F984:F987"/>
    <mergeCell ref="E984:E987"/>
    <mergeCell ref="D984:D987"/>
    <mergeCell ref="C984:C987"/>
    <mergeCell ref="B984:B987"/>
    <mergeCell ref="A984:A987"/>
    <mergeCell ref="O988:O994"/>
    <mergeCell ref="N988:N994"/>
    <mergeCell ref="M988:M994"/>
    <mergeCell ref="F988:F994"/>
    <mergeCell ref="E988:E994"/>
    <mergeCell ref="D988:D994"/>
    <mergeCell ref="C988:C994"/>
    <mergeCell ref="B988:B994"/>
    <mergeCell ref="A988:A994"/>
    <mergeCell ref="O976:O980"/>
    <mergeCell ref="N976:N980"/>
    <mergeCell ref="M976:M980"/>
    <mergeCell ref="F976:F980"/>
    <mergeCell ref="E976:E980"/>
    <mergeCell ref="D976:D980"/>
    <mergeCell ref="C976:C980"/>
    <mergeCell ref="B976:B980"/>
    <mergeCell ref="A976:A980"/>
    <mergeCell ref="O981:O983"/>
    <mergeCell ref="N981:N983"/>
    <mergeCell ref="M981:M983"/>
    <mergeCell ref="F981:F983"/>
    <mergeCell ref="E981:E983"/>
    <mergeCell ref="D981:D983"/>
    <mergeCell ref="C981:C983"/>
    <mergeCell ref="B981:B983"/>
    <mergeCell ref="A981:A983"/>
    <mergeCell ref="O969:O973"/>
    <mergeCell ref="N969:N973"/>
    <mergeCell ref="M969:M973"/>
    <mergeCell ref="F969:F973"/>
    <mergeCell ref="E969:E973"/>
    <mergeCell ref="D969:D973"/>
    <mergeCell ref="C969:C973"/>
    <mergeCell ref="B969:B973"/>
    <mergeCell ref="A969:A973"/>
    <mergeCell ref="O974:O975"/>
    <mergeCell ref="N974:N975"/>
    <mergeCell ref="M974:M975"/>
    <mergeCell ref="F974:F975"/>
    <mergeCell ref="E974:E975"/>
    <mergeCell ref="D974:D975"/>
    <mergeCell ref="C974:C975"/>
    <mergeCell ref="B974:B975"/>
    <mergeCell ref="A974:A975"/>
    <mergeCell ref="O952:O953"/>
    <mergeCell ref="N952:N953"/>
    <mergeCell ref="M952:M953"/>
    <mergeCell ref="F952:F953"/>
    <mergeCell ref="E952:E953"/>
    <mergeCell ref="D952:D953"/>
    <mergeCell ref="C952:C953"/>
    <mergeCell ref="B952:B953"/>
    <mergeCell ref="A952:A953"/>
    <mergeCell ref="M954:M968"/>
    <mergeCell ref="O954:O968"/>
    <mergeCell ref="N954:N968"/>
    <mergeCell ref="F954:F968"/>
    <mergeCell ref="E954:E968"/>
    <mergeCell ref="D954:D968"/>
    <mergeCell ref="C954:C968"/>
    <mergeCell ref="B954:B968"/>
    <mergeCell ref="A954:A968"/>
    <mergeCell ref="O947:O949"/>
    <mergeCell ref="N947:N949"/>
    <mergeCell ref="M947:M949"/>
    <mergeCell ref="F947:F949"/>
    <mergeCell ref="E947:E949"/>
    <mergeCell ref="D947:D949"/>
    <mergeCell ref="C947:C949"/>
    <mergeCell ref="B947:B949"/>
    <mergeCell ref="A947:A949"/>
    <mergeCell ref="O950:O951"/>
    <mergeCell ref="N950:N951"/>
    <mergeCell ref="M950:M951"/>
    <mergeCell ref="F950:F951"/>
    <mergeCell ref="E950:E951"/>
    <mergeCell ref="D950:D951"/>
    <mergeCell ref="C950:C951"/>
    <mergeCell ref="B950:B951"/>
    <mergeCell ref="A950:A951"/>
    <mergeCell ref="O935:O942"/>
    <mergeCell ref="N935:N942"/>
    <mergeCell ref="M935:M942"/>
    <mergeCell ref="F935:F942"/>
    <mergeCell ref="E935:E942"/>
    <mergeCell ref="D935:D942"/>
    <mergeCell ref="C935:C942"/>
    <mergeCell ref="B935:B942"/>
    <mergeCell ref="A935:A942"/>
    <mergeCell ref="O943:O946"/>
    <mergeCell ref="N943:N946"/>
    <mergeCell ref="M943:M946"/>
    <mergeCell ref="F943:F946"/>
    <mergeCell ref="E943:E946"/>
    <mergeCell ref="D943:D946"/>
    <mergeCell ref="C943:C946"/>
    <mergeCell ref="B943:B946"/>
    <mergeCell ref="A943:A946"/>
    <mergeCell ref="O928:O929"/>
    <mergeCell ref="N928:N929"/>
    <mergeCell ref="M928:M929"/>
    <mergeCell ref="F928:F929"/>
    <mergeCell ref="E928:E929"/>
    <mergeCell ref="D928:D929"/>
    <mergeCell ref="C928:C929"/>
    <mergeCell ref="B928:B929"/>
    <mergeCell ref="A928:A929"/>
    <mergeCell ref="O930:O934"/>
    <mergeCell ref="N930:N934"/>
    <mergeCell ref="M930:M934"/>
    <mergeCell ref="F930:F934"/>
    <mergeCell ref="E930:E934"/>
    <mergeCell ref="D930:D934"/>
    <mergeCell ref="C930:C934"/>
    <mergeCell ref="B930:B934"/>
    <mergeCell ref="A930:A934"/>
    <mergeCell ref="O923:O924"/>
    <mergeCell ref="N923:N924"/>
    <mergeCell ref="M923:M924"/>
    <mergeCell ref="F923:F924"/>
    <mergeCell ref="E923:E924"/>
    <mergeCell ref="D923:D924"/>
    <mergeCell ref="C923:C924"/>
    <mergeCell ref="B923:B924"/>
    <mergeCell ref="A923:A924"/>
    <mergeCell ref="O926:O927"/>
    <mergeCell ref="N926:N927"/>
    <mergeCell ref="M926:M927"/>
    <mergeCell ref="F926:F927"/>
    <mergeCell ref="E926:E927"/>
    <mergeCell ref="D926:D927"/>
    <mergeCell ref="C926:C927"/>
    <mergeCell ref="B926:B927"/>
    <mergeCell ref="A926:A927"/>
    <mergeCell ref="O912:O916"/>
    <mergeCell ref="N912:N916"/>
    <mergeCell ref="M912:M916"/>
    <mergeCell ref="F912:F916"/>
    <mergeCell ref="E912:E916"/>
    <mergeCell ref="D912:D916"/>
    <mergeCell ref="C912:C916"/>
    <mergeCell ref="B912:B916"/>
    <mergeCell ref="A912:A916"/>
    <mergeCell ref="O917:O922"/>
    <mergeCell ref="N917:N922"/>
    <mergeCell ref="M917:M922"/>
    <mergeCell ref="F917:F922"/>
    <mergeCell ref="E917:E922"/>
    <mergeCell ref="D917:D922"/>
    <mergeCell ref="C917:C922"/>
    <mergeCell ref="B917:B922"/>
    <mergeCell ref="A917:A922"/>
    <mergeCell ref="O904:O907"/>
    <mergeCell ref="N904:N907"/>
    <mergeCell ref="M904:M907"/>
    <mergeCell ref="F904:F907"/>
    <mergeCell ref="E904:E907"/>
    <mergeCell ref="D904:D907"/>
    <mergeCell ref="C904:C907"/>
    <mergeCell ref="B904:B907"/>
    <mergeCell ref="A904:A907"/>
    <mergeCell ref="O909:O911"/>
    <mergeCell ref="N909:N911"/>
    <mergeCell ref="M909:M911"/>
    <mergeCell ref="F909:F911"/>
    <mergeCell ref="E909:E911"/>
    <mergeCell ref="C909:C911"/>
    <mergeCell ref="D909:D911"/>
    <mergeCell ref="B909:B911"/>
    <mergeCell ref="A909:A911"/>
    <mergeCell ref="O898:O900"/>
    <mergeCell ref="N898:N900"/>
    <mergeCell ref="M898:M900"/>
    <mergeCell ref="F898:F900"/>
    <mergeCell ref="E898:E900"/>
    <mergeCell ref="D898:D900"/>
    <mergeCell ref="C898:C900"/>
    <mergeCell ref="B898:B900"/>
    <mergeCell ref="A898:A900"/>
    <mergeCell ref="O901:O903"/>
    <mergeCell ref="N901:N903"/>
    <mergeCell ref="M901:M903"/>
    <mergeCell ref="F901:F903"/>
    <mergeCell ref="E901:E903"/>
    <mergeCell ref="D901:D903"/>
    <mergeCell ref="C901:C903"/>
    <mergeCell ref="B901:B903"/>
    <mergeCell ref="A901:A903"/>
    <mergeCell ref="O890:O891"/>
    <mergeCell ref="N890:N891"/>
    <mergeCell ref="M890:M891"/>
    <mergeCell ref="F890:F891"/>
    <mergeCell ref="E890:E891"/>
    <mergeCell ref="D890:D891"/>
    <mergeCell ref="C890:C891"/>
    <mergeCell ref="B890:B891"/>
    <mergeCell ref="A890:A891"/>
    <mergeCell ref="O892:O897"/>
    <mergeCell ref="N892:N897"/>
    <mergeCell ref="M892:M897"/>
    <mergeCell ref="F892:F897"/>
    <mergeCell ref="E892:E897"/>
    <mergeCell ref="D892:D897"/>
    <mergeCell ref="C892:C897"/>
    <mergeCell ref="B892:B897"/>
    <mergeCell ref="A892:A897"/>
    <mergeCell ref="O883:O884"/>
    <mergeCell ref="N883:N884"/>
    <mergeCell ref="M883:M884"/>
    <mergeCell ref="F883:F884"/>
    <mergeCell ref="E883:E884"/>
    <mergeCell ref="D883:D884"/>
    <mergeCell ref="C883:C884"/>
    <mergeCell ref="B883:B884"/>
    <mergeCell ref="A883:A884"/>
    <mergeCell ref="A888:A889"/>
    <mergeCell ref="B888:B889"/>
    <mergeCell ref="C888:C889"/>
    <mergeCell ref="D888:D889"/>
    <mergeCell ref="E888:E889"/>
    <mergeCell ref="F888:F889"/>
    <mergeCell ref="O885:O887"/>
    <mergeCell ref="N885:N887"/>
    <mergeCell ref="M885:M887"/>
    <mergeCell ref="F885:F887"/>
    <mergeCell ref="E885:E887"/>
    <mergeCell ref="D885:D887"/>
    <mergeCell ref="C885:C887"/>
    <mergeCell ref="B885:B887"/>
    <mergeCell ref="A885:A887"/>
    <mergeCell ref="M888:M889"/>
    <mergeCell ref="N888:N889"/>
    <mergeCell ref="O888:O889"/>
    <mergeCell ref="O875:O877"/>
    <mergeCell ref="N875:N877"/>
    <mergeCell ref="M875:M877"/>
    <mergeCell ref="F875:F877"/>
    <mergeCell ref="E875:E877"/>
    <mergeCell ref="D875:D877"/>
    <mergeCell ref="C875:C877"/>
    <mergeCell ref="B875:B877"/>
    <mergeCell ref="A875:A877"/>
    <mergeCell ref="O878:O882"/>
    <mergeCell ref="N878:N882"/>
    <mergeCell ref="M878:M882"/>
    <mergeCell ref="F878:F882"/>
    <mergeCell ref="E878:E882"/>
    <mergeCell ref="D878:D882"/>
    <mergeCell ref="C878:C882"/>
    <mergeCell ref="B878:B882"/>
    <mergeCell ref="A878:A882"/>
    <mergeCell ref="O868:O870"/>
    <mergeCell ref="N868:N870"/>
    <mergeCell ref="M868:M870"/>
    <mergeCell ref="F868:F870"/>
    <mergeCell ref="E868:E870"/>
    <mergeCell ref="D868:D870"/>
    <mergeCell ref="C868:C870"/>
    <mergeCell ref="B868:B870"/>
    <mergeCell ref="A868:A870"/>
    <mergeCell ref="O871:O874"/>
    <mergeCell ref="N871:N874"/>
    <mergeCell ref="M871:M874"/>
    <mergeCell ref="F871:F874"/>
    <mergeCell ref="E871:E874"/>
    <mergeCell ref="D871:D874"/>
    <mergeCell ref="C871:C874"/>
    <mergeCell ref="B871:B874"/>
    <mergeCell ref="A871:A874"/>
    <mergeCell ref="O860:O863"/>
    <mergeCell ref="N860:N863"/>
    <mergeCell ref="M860:M863"/>
    <mergeCell ref="F860:F863"/>
    <mergeCell ref="E860:E863"/>
    <mergeCell ref="D860:D863"/>
    <mergeCell ref="C860:C863"/>
    <mergeCell ref="B860:B863"/>
    <mergeCell ref="A860:A863"/>
    <mergeCell ref="O864:O867"/>
    <mergeCell ref="N864:N867"/>
    <mergeCell ref="M864:M867"/>
    <mergeCell ref="F864:F867"/>
    <mergeCell ref="E864:E867"/>
    <mergeCell ref="D864:D867"/>
    <mergeCell ref="C864:C867"/>
    <mergeCell ref="B864:B867"/>
    <mergeCell ref="A864:A867"/>
    <mergeCell ref="O853:O857"/>
    <mergeCell ref="N853:N857"/>
    <mergeCell ref="M853:M857"/>
    <mergeCell ref="F853:F857"/>
    <mergeCell ref="E853:E857"/>
    <mergeCell ref="D853:D857"/>
    <mergeCell ref="C853:C857"/>
    <mergeCell ref="B853:B857"/>
    <mergeCell ref="A853:A857"/>
    <mergeCell ref="O858:O859"/>
    <mergeCell ref="N858:N859"/>
    <mergeCell ref="M858:M859"/>
    <mergeCell ref="F858:F859"/>
    <mergeCell ref="E858:E859"/>
    <mergeCell ref="D858:D859"/>
    <mergeCell ref="C858:C859"/>
    <mergeCell ref="B858:B859"/>
    <mergeCell ref="A858:A859"/>
    <mergeCell ref="O845:O849"/>
    <mergeCell ref="N845:N849"/>
    <mergeCell ref="M845:M849"/>
    <mergeCell ref="F845:F849"/>
    <mergeCell ref="E845:E849"/>
    <mergeCell ref="D845:D849"/>
    <mergeCell ref="C845:C849"/>
    <mergeCell ref="B845:B849"/>
    <mergeCell ref="A845:A849"/>
    <mergeCell ref="O850:O852"/>
    <mergeCell ref="N850:N852"/>
    <mergeCell ref="M850:M852"/>
    <mergeCell ref="F850:F852"/>
    <mergeCell ref="E850:E852"/>
    <mergeCell ref="D850:D852"/>
    <mergeCell ref="C850:C852"/>
    <mergeCell ref="B850:B852"/>
    <mergeCell ref="A850:A852"/>
    <mergeCell ref="O841:O842"/>
    <mergeCell ref="N841:N842"/>
    <mergeCell ref="M841:M842"/>
    <mergeCell ref="F841:F842"/>
    <mergeCell ref="E841:E842"/>
    <mergeCell ref="D841:D842"/>
    <mergeCell ref="C841:C842"/>
    <mergeCell ref="B841:B842"/>
    <mergeCell ref="A841:A842"/>
    <mergeCell ref="O843:O844"/>
    <mergeCell ref="N843:N844"/>
    <mergeCell ref="M843:M844"/>
    <mergeCell ref="F843:F844"/>
    <mergeCell ref="E843:E844"/>
    <mergeCell ref="D843:D844"/>
    <mergeCell ref="C843:C844"/>
    <mergeCell ref="B843:B844"/>
    <mergeCell ref="A843:A844"/>
    <mergeCell ref="O833:O837"/>
    <mergeCell ref="N833:N837"/>
    <mergeCell ref="M833:M837"/>
    <mergeCell ref="F833:F837"/>
    <mergeCell ref="E833:E837"/>
    <mergeCell ref="D833:D837"/>
    <mergeCell ref="C833:C837"/>
    <mergeCell ref="B833:B837"/>
    <mergeCell ref="A833:A837"/>
    <mergeCell ref="O838:O840"/>
    <mergeCell ref="N838:N840"/>
    <mergeCell ref="M838:M840"/>
    <mergeCell ref="F838:F840"/>
    <mergeCell ref="E838:E840"/>
    <mergeCell ref="D838:D840"/>
    <mergeCell ref="C838:C840"/>
    <mergeCell ref="B838:B840"/>
    <mergeCell ref="A838:A840"/>
    <mergeCell ref="O815:O819"/>
    <mergeCell ref="N815:N819"/>
    <mergeCell ref="M815:M819"/>
    <mergeCell ref="F815:F819"/>
    <mergeCell ref="E815:E819"/>
    <mergeCell ref="D815:D819"/>
    <mergeCell ref="C815:C819"/>
    <mergeCell ref="B815:B819"/>
    <mergeCell ref="A815:A819"/>
    <mergeCell ref="O821:O832"/>
    <mergeCell ref="N821:N832"/>
    <mergeCell ref="M821:M832"/>
    <mergeCell ref="F821:F832"/>
    <mergeCell ref="E821:E832"/>
    <mergeCell ref="D821:D832"/>
    <mergeCell ref="C821:C832"/>
    <mergeCell ref="B821:B832"/>
    <mergeCell ref="A821:A832"/>
    <mergeCell ref="O808:O810"/>
    <mergeCell ref="N808:N810"/>
    <mergeCell ref="M808:M810"/>
    <mergeCell ref="F808:F810"/>
    <mergeCell ref="E808:E810"/>
    <mergeCell ref="D808:D810"/>
    <mergeCell ref="C808:C810"/>
    <mergeCell ref="B808:B810"/>
    <mergeCell ref="A808:A810"/>
    <mergeCell ref="O811:O813"/>
    <mergeCell ref="N811:N813"/>
    <mergeCell ref="M811:M813"/>
    <mergeCell ref="F811:F813"/>
    <mergeCell ref="E811:E813"/>
    <mergeCell ref="D811:D813"/>
    <mergeCell ref="C811:C813"/>
    <mergeCell ref="B811:B813"/>
    <mergeCell ref="A811:A813"/>
    <mergeCell ref="O804:O805"/>
    <mergeCell ref="N804:N805"/>
    <mergeCell ref="M804:M805"/>
    <mergeCell ref="F804:F805"/>
    <mergeCell ref="E804:E805"/>
    <mergeCell ref="D804:D805"/>
    <mergeCell ref="C804:C805"/>
    <mergeCell ref="B804:B805"/>
    <mergeCell ref="A804:A805"/>
    <mergeCell ref="O806:O807"/>
    <mergeCell ref="N806:N807"/>
    <mergeCell ref="M806:M807"/>
    <mergeCell ref="F806:F807"/>
    <mergeCell ref="E806:E807"/>
    <mergeCell ref="D806:D807"/>
    <mergeCell ref="C806:C807"/>
    <mergeCell ref="B806:B807"/>
    <mergeCell ref="A806:A807"/>
    <mergeCell ref="O796:O800"/>
    <mergeCell ref="N796:N800"/>
    <mergeCell ref="M796:M800"/>
    <mergeCell ref="F796:F800"/>
    <mergeCell ref="E796:E800"/>
    <mergeCell ref="D796:D800"/>
    <mergeCell ref="C796:C800"/>
    <mergeCell ref="B796:B800"/>
    <mergeCell ref="A796:A800"/>
    <mergeCell ref="O802:O803"/>
    <mergeCell ref="N802:N803"/>
    <mergeCell ref="M802:M803"/>
    <mergeCell ref="F802:F803"/>
    <mergeCell ref="E802:E803"/>
    <mergeCell ref="D802:D803"/>
    <mergeCell ref="C802:C803"/>
    <mergeCell ref="B802:B803"/>
    <mergeCell ref="A802:A803"/>
    <mergeCell ref="O790:O792"/>
    <mergeCell ref="N790:N792"/>
    <mergeCell ref="M790:M792"/>
    <mergeCell ref="F790:F792"/>
    <mergeCell ref="E790:E792"/>
    <mergeCell ref="D790:D792"/>
    <mergeCell ref="C790:C792"/>
    <mergeCell ref="B790:B792"/>
    <mergeCell ref="A790:A792"/>
    <mergeCell ref="O793:O795"/>
    <mergeCell ref="N793:N795"/>
    <mergeCell ref="M793:M795"/>
    <mergeCell ref="F793:F795"/>
    <mergeCell ref="E793:E795"/>
    <mergeCell ref="D793:D795"/>
    <mergeCell ref="C793:C795"/>
    <mergeCell ref="B793:B795"/>
    <mergeCell ref="A793:A795"/>
    <mergeCell ref="O642:O643"/>
    <mergeCell ref="N642:N643"/>
    <mergeCell ref="M642:M643"/>
    <mergeCell ref="F642:F643"/>
    <mergeCell ref="E642:E643"/>
    <mergeCell ref="D642:D643"/>
    <mergeCell ref="C642:C643"/>
    <mergeCell ref="B642:B643"/>
    <mergeCell ref="A642:A643"/>
    <mergeCell ref="O644:O645"/>
    <mergeCell ref="N644:N645"/>
    <mergeCell ref="M644:M645"/>
    <mergeCell ref="F644:F645"/>
    <mergeCell ref="E644:E645"/>
    <mergeCell ref="D644:D645"/>
    <mergeCell ref="C644:C645"/>
    <mergeCell ref="B644:B645"/>
    <mergeCell ref="A644:A645"/>
    <mergeCell ref="O637:O638"/>
    <mergeCell ref="N637:N638"/>
    <mergeCell ref="M637:M638"/>
    <mergeCell ref="F637:F638"/>
    <mergeCell ref="E637:E638"/>
    <mergeCell ref="D637:D638"/>
    <mergeCell ref="C637:C638"/>
    <mergeCell ref="B637:B638"/>
    <mergeCell ref="A637:A638"/>
    <mergeCell ref="O639:O641"/>
    <mergeCell ref="N639:N641"/>
    <mergeCell ref="M639:M641"/>
    <mergeCell ref="F639:F641"/>
    <mergeCell ref="E639:E641"/>
    <mergeCell ref="D639:D641"/>
    <mergeCell ref="C639:C641"/>
    <mergeCell ref="B639:B641"/>
    <mergeCell ref="A639:A641"/>
    <mergeCell ref="A631:A633"/>
    <mergeCell ref="B631:B633"/>
    <mergeCell ref="C631:C633"/>
    <mergeCell ref="D631:D633"/>
    <mergeCell ref="E631:E633"/>
    <mergeCell ref="F631:F633"/>
    <mergeCell ref="O631:O633"/>
    <mergeCell ref="N631:N633"/>
    <mergeCell ref="M631:M633"/>
    <mergeCell ref="O634:O635"/>
    <mergeCell ref="N634:N635"/>
    <mergeCell ref="M634:M635"/>
    <mergeCell ref="F634:F635"/>
    <mergeCell ref="E634:E635"/>
    <mergeCell ref="D634:D635"/>
    <mergeCell ref="C634:C635"/>
    <mergeCell ref="B634:B635"/>
    <mergeCell ref="A634:A635"/>
    <mergeCell ref="O625:O627"/>
    <mergeCell ref="N625:N627"/>
    <mergeCell ref="M625:M627"/>
    <mergeCell ref="F625:F627"/>
    <mergeCell ref="E625:E627"/>
    <mergeCell ref="D625:D627"/>
    <mergeCell ref="C625:C627"/>
    <mergeCell ref="B625:B627"/>
    <mergeCell ref="A625:A627"/>
    <mergeCell ref="O628:O630"/>
    <mergeCell ref="N628:N630"/>
    <mergeCell ref="M628:M630"/>
    <mergeCell ref="F628:F630"/>
    <mergeCell ref="E628:E630"/>
    <mergeCell ref="D628:D630"/>
    <mergeCell ref="C628:C630"/>
    <mergeCell ref="B628:B630"/>
    <mergeCell ref="A628:A630"/>
    <mergeCell ref="O616:O618"/>
    <mergeCell ref="N616:N618"/>
    <mergeCell ref="M616:M618"/>
    <mergeCell ref="F616:F618"/>
    <mergeCell ref="E616:E618"/>
    <mergeCell ref="D616:D618"/>
    <mergeCell ref="C616:C618"/>
    <mergeCell ref="B616:B618"/>
    <mergeCell ref="A616:A618"/>
    <mergeCell ref="F619:F624"/>
    <mergeCell ref="E619:E624"/>
    <mergeCell ref="D619:D624"/>
    <mergeCell ref="C619:C624"/>
    <mergeCell ref="B619:B624"/>
    <mergeCell ref="A619:A624"/>
    <mergeCell ref="O619:O624"/>
    <mergeCell ref="N619:N624"/>
    <mergeCell ref="M619:M624"/>
    <mergeCell ref="O608:O609"/>
    <mergeCell ref="N608:N609"/>
    <mergeCell ref="M608:M609"/>
    <mergeCell ref="F608:F609"/>
    <mergeCell ref="E608:E609"/>
    <mergeCell ref="D608:D609"/>
    <mergeCell ref="C608:C609"/>
    <mergeCell ref="B608:B609"/>
    <mergeCell ref="A608:A609"/>
    <mergeCell ref="O610:O615"/>
    <mergeCell ref="N610:N615"/>
    <mergeCell ref="M610:M615"/>
    <mergeCell ref="F610:F615"/>
    <mergeCell ref="E610:E615"/>
    <mergeCell ref="D610:D615"/>
    <mergeCell ref="C610:C615"/>
    <mergeCell ref="B610:B615"/>
    <mergeCell ref="A610:A615"/>
    <mergeCell ref="O604:O605"/>
    <mergeCell ref="N604:N605"/>
    <mergeCell ref="M604:M605"/>
    <mergeCell ref="F604:F605"/>
    <mergeCell ref="E604:E605"/>
    <mergeCell ref="D604:D605"/>
    <mergeCell ref="C604:C605"/>
    <mergeCell ref="B604:B605"/>
    <mergeCell ref="A604:A605"/>
    <mergeCell ref="O606:O607"/>
    <mergeCell ref="N606:N607"/>
    <mergeCell ref="M606:M607"/>
    <mergeCell ref="F606:F607"/>
    <mergeCell ref="E606:E607"/>
    <mergeCell ref="D606:D607"/>
    <mergeCell ref="C606:C607"/>
    <mergeCell ref="B606:B607"/>
    <mergeCell ref="A606:A607"/>
    <mergeCell ref="O599:O600"/>
    <mergeCell ref="M599:M600"/>
    <mergeCell ref="N599:N600"/>
    <mergeCell ref="F599:F600"/>
    <mergeCell ref="E599:E600"/>
    <mergeCell ref="D599:D600"/>
    <mergeCell ref="C599:C600"/>
    <mergeCell ref="B599:B600"/>
    <mergeCell ref="A599:A600"/>
    <mergeCell ref="O602:O603"/>
    <mergeCell ref="N602:N603"/>
    <mergeCell ref="M602:M603"/>
    <mergeCell ref="F602:F603"/>
    <mergeCell ref="E602:E603"/>
    <mergeCell ref="D602:D603"/>
    <mergeCell ref="C602:C603"/>
    <mergeCell ref="B602:B603"/>
    <mergeCell ref="A602:A603"/>
    <mergeCell ref="O590:O595"/>
    <mergeCell ref="N590:N595"/>
    <mergeCell ref="M590:M595"/>
    <mergeCell ref="F590:F595"/>
    <mergeCell ref="E590:E595"/>
    <mergeCell ref="D590:D595"/>
    <mergeCell ref="C590:C595"/>
    <mergeCell ref="B590:B595"/>
    <mergeCell ref="A590:A595"/>
    <mergeCell ref="O596:O598"/>
    <mergeCell ref="N596:N598"/>
    <mergeCell ref="M596:M598"/>
    <mergeCell ref="F596:F598"/>
    <mergeCell ref="E596:E598"/>
    <mergeCell ref="D596:D598"/>
    <mergeCell ref="C596:C598"/>
    <mergeCell ref="B596:B598"/>
    <mergeCell ref="A596:A598"/>
    <mergeCell ref="O579:O583"/>
    <mergeCell ref="N579:N583"/>
    <mergeCell ref="M579:M583"/>
    <mergeCell ref="F579:F583"/>
    <mergeCell ref="E579:E583"/>
    <mergeCell ref="D579:D583"/>
    <mergeCell ref="C579:C583"/>
    <mergeCell ref="B579:B583"/>
    <mergeCell ref="A579:A583"/>
    <mergeCell ref="O584:O589"/>
    <mergeCell ref="N584:N589"/>
    <mergeCell ref="M584:M589"/>
    <mergeCell ref="F584:F589"/>
    <mergeCell ref="E584:E589"/>
    <mergeCell ref="D584:D589"/>
    <mergeCell ref="C584:C589"/>
    <mergeCell ref="B584:B589"/>
    <mergeCell ref="A584:A589"/>
    <mergeCell ref="F563:F576"/>
    <mergeCell ref="E563:E576"/>
    <mergeCell ref="D563:D576"/>
    <mergeCell ref="C563:C576"/>
    <mergeCell ref="B563:B576"/>
    <mergeCell ref="A563:A576"/>
    <mergeCell ref="O563:O576"/>
    <mergeCell ref="N563:N576"/>
    <mergeCell ref="M563:M576"/>
    <mergeCell ref="O577:O578"/>
    <mergeCell ref="N577:N578"/>
    <mergeCell ref="M577:M578"/>
    <mergeCell ref="F577:F578"/>
    <mergeCell ref="E577:E578"/>
    <mergeCell ref="D577:D578"/>
    <mergeCell ref="C577:C578"/>
    <mergeCell ref="B577:B578"/>
    <mergeCell ref="A577:A578"/>
    <mergeCell ref="O555:O562"/>
    <mergeCell ref="N555:N562"/>
    <mergeCell ref="M555:M562"/>
    <mergeCell ref="F555:F562"/>
    <mergeCell ref="E555:E562"/>
    <mergeCell ref="D555:D562"/>
    <mergeCell ref="C555:C562"/>
    <mergeCell ref="B555:B562"/>
    <mergeCell ref="A555:A562"/>
    <mergeCell ref="O327:O330"/>
    <mergeCell ref="N327:N330"/>
    <mergeCell ref="M327:M330"/>
    <mergeCell ref="F327:F330"/>
    <mergeCell ref="E327:E330"/>
    <mergeCell ref="D327:D330"/>
    <mergeCell ref="C327:C330"/>
    <mergeCell ref="B327:B330"/>
    <mergeCell ref="A327:A330"/>
    <mergeCell ref="O331:O341"/>
    <mergeCell ref="N331:N341"/>
    <mergeCell ref="M331:M341"/>
    <mergeCell ref="F331:F341"/>
    <mergeCell ref="E331:E341"/>
    <mergeCell ref="D331:D341"/>
    <mergeCell ref="C331:C341"/>
    <mergeCell ref="B331:B341"/>
    <mergeCell ref="A331:A341"/>
    <mergeCell ref="O344:O345"/>
    <mergeCell ref="N344:N345"/>
    <mergeCell ref="M344:M345"/>
    <mergeCell ref="F344:F345"/>
    <mergeCell ref="E344:E345"/>
    <mergeCell ref="O318:O321"/>
    <mergeCell ref="N318:N321"/>
    <mergeCell ref="M318:M321"/>
    <mergeCell ref="F318:F321"/>
    <mergeCell ref="E318:E321"/>
    <mergeCell ref="D318:D321"/>
    <mergeCell ref="C318:C321"/>
    <mergeCell ref="B318:B321"/>
    <mergeCell ref="A318:A321"/>
    <mergeCell ref="O322:O326"/>
    <mergeCell ref="N322:N326"/>
    <mergeCell ref="M322:M326"/>
    <mergeCell ref="F322:F326"/>
    <mergeCell ref="E322:E326"/>
    <mergeCell ref="D322:D326"/>
    <mergeCell ref="C322:C326"/>
    <mergeCell ref="B322:B326"/>
    <mergeCell ref="A322:A326"/>
    <mergeCell ref="A310:A312"/>
    <mergeCell ref="O313:O317"/>
    <mergeCell ref="N313:N317"/>
    <mergeCell ref="M313:M317"/>
    <mergeCell ref="F313:F317"/>
    <mergeCell ref="E313:E317"/>
    <mergeCell ref="D313:D317"/>
    <mergeCell ref="C313:C317"/>
    <mergeCell ref="B313:B317"/>
    <mergeCell ref="A313:A317"/>
    <mergeCell ref="O310:O312"/>
    <mergeCell ref="N310:N312"/>
    <mergeCell ref="M310:M312"/>
    <mergeCell ref="F310:F312"/>
    <mergeCell ref="E310:E312"/>
    <mergeCell ref="D310:D312"/>
    <mergeCell ref="C310:C312"/>
    <mergeCell ref="B310:B312"/>
    <mergeCell ref="M306:M307"/>
    <mergeCell ref="O306:O307"/>
    <mergeCell ref="N306:N307"/>
    <mergeCell ref="F306:F307"/>
    <mergeCell ref="E306:E307"/>
    <mergeCell ref="D306:D307"/>
    <mergeCell ref="C306:C307"/>
    <mergeCell ref="B306:B307"/>
    <mergeCell ref="A306:A307"/>
    <mergeCell ref="M308:M309"/>
    <mergeCell ref="N308:N309"/>
    <mergeCell ref="O308:O309"/>
    <mergeCell ref="F308:F309"/>
    <mergeCell ref="E308:E309"/>
    <mergeCell ref="D308:D309"/>
    <mergeCell ref="C308:C309"/>
    <mergeCell ref="B308:B309"/>
    <mergeCell ref="A308:A309"/>
    <mergeCell ref="A300:A303"/>
    <mergeCell ref="O304:O305"/>
    <mergeCell ref="N304:N305"/>
    <mergeCell ref="M304:M305"/>
    <mergeCell ref="F304:F305"/>
    <mergeCell ref="E304:E305"/>
    <mergeCell ref="D304:D305"/>
    <mergeCell ref="C304:C305"/>
    <mergeCell ref="B304:B305"/>
    <mergeCell ref="A304:A305"/>
    <mergeCell ref="O300:O303"/>
    <mergeCell ref="N300:N303"/>
    <mergeCell ref="M300:M303"/>
    <mergeCell ref="F300:F303"/>
    <mergeCell ref="E300:E303"/>
    <mergeCell ref="D300:D303"/>
    <mergeCell ref="C300:C303"/>
    <mergeCell ref="B300:B303"/>
    <mergeCell ref="N292:N293"/>
    <mergeCell ref="M292:M293"/>
    <mergeCell ref="F292:F293"/>
    <mergeCell ref="E292:E293"/>
    <mergeCell ref="D292:D293"/>
    <mergeCell ref="C292:C293"/>
    <mergeCell ref="F288:F291"/>
    <mergeCell ref="E288:E291"/>
    <mergeCell ref="D288:D291"/>
    <mergeCell ref="C288:C291"/>
    <mergeCell ref="B292:B293"/>
    <mergeCell ref="A292:A293"/>
    <mergeCell ref="O292:O293"/>
    <mergeCell ref="F294:F299"/>
    <mergeCell ref="E294:E299"/>
    <mergeCell ref="D294:D299"/>
    <mergeCell ref="C294:C299"/>
    <mergeCell ref="B294:B299"/>
    <mergeCell ref="A294:A299"/>
    <mergeCell ref="O294:O299"/>
    <mergeCell ref="N294:N299"/>
    <mergeCell ref="M294:M299"/>
    <mergeCell ref="B288:B291"/>
    <mergeCell ref="A288:A291"/>
    <mergeCell ref="N288:N291"/>
    <mergeCell ref="M288:M291"/>
    <mergeCell ref="O288:O291"/>
    <mergeCell ref="N283:N284"/>
    <mergeCell ref="M283:M284"/>
    <mergeCell ref="F283:F284"/>
    <mergeCell ref="E283:E284"/>
    <mergeCell ref="D283:D284"/>
    <mergeCell ref="C283:C284"/>
    <mergeCell ref="B283:B284"/>
    <mergeCell ref="A283:A284"/>
    <mergeCell ref="N285:N286"/>
    <mergeCell ref="M285:M286"/>
    <mergeCell ref="F285:F286"/>
    <mergeCell ref="E285:E286"/>
    <mergeCell ref="D285:D286"/>
    <mergeCell ref="C285:C286"/>
    <mergeCell ref="B285:B286"/>
    <mergeCell ref="A285:A286"/>
    <mergeCell ref="O283:O284"/>
    <mergeCell ref="F202:F209"/>
    <mergeCell ref="E202:E209"/>
    <mergeCell ref="D202:D209"/>
    <mergeCell ref="C202:C209"/>
    <mergeCell ref="B202:B209"/>
    <mergeCell ref="A202:A209"/>
    <mergeCell ref="N202:N209"/>
    <mergeCell ref="M202:M209"/>
    <mergeCell ref="N212:N213"/>
    <mergeCell ref="N210:N211"/>
    <mergeCell ref="M212:M213"/>
    <mergeCell ref="M210:M211"/>
    <mergeCell ref="A212:A213"/>
    <mergeCell ref="B212:B213"/>
    <mergeCell ref="C212:C213"/>
    <mergeCell ref="D212:D213"/>
    <mergeCell ref="E212:E213"/>
    <mergeCell ref="F212:F213"/>
    <mergeCell ref="F210:F211"/>
    <mergeCell ref="E210:E211"/>
    <mergeCell ref="D210:D211"/>
    <mergeCell ref="C210:C211"/>
    <mergeCell ref="B210:B211"/>
    <mergeCell ref="A210:A211"/>
    <mergeCell ref="N190:N194"/>
    <mergeCell ref="M190:M194"/>
    <mergeCell ref="F190:F194"/>
    <mergeCell ref="E190:E194"/>
    <mergeCell ref="D190:D194"/>
    <mergeCell ref="C190:C194"/>
    <mergeCell ref="B190:B194"/>
    <mergeCell ref="A190:A194"/>
    <mergeCell ref="N195:N197"/>
    <mergeCell ref="M195:M197"/>
    <mergeCell ref="F195:F197"/>
    <mergeCell ref="E195:E197"/>
    <mergeCell ref="D195:D197"/>
    <mergeCell ref="C195:C197"/>
    <mergeCell ref="B195:B197"/>
    <mergeCell ref="A195:A197"/>
    <mergeCell ref="N199:N200"/>
    <mergeCell ref="M199:M200"/>
    <mergeCell ref="F199:F200"/>
    <mergeCell ref="E199:E200"/>
    <mergeCell ref="D199:D200"/>
    <mergeCell ref="C199:C200"/>
    <mergeCell ref="B199:B200"/>
    <mergeCell ref="A199:A200"/>
    <mergeCell ref="N181:N184"/>
    <mergeCell ref="M181:M184"/>
    <mergeCell ref="F181:F184"/>
    <mergeCell ref="E181:E184"/>
    <mergeCell ref="D181:D184"/>
    <mergeCell ref="C181:C184"/>
    <mergeCell ref="B181:B184"/>
    <mergeCell ref="A181:A184"/>
    <mergeCell ref="A187:A188"/>
    <mergeCell ref="B187:B188"/>
    <mergeCell ref="C187:C188"/>
    <mergeCell ref="D187:D188"/>
    <mergeCell ref="E187:E188"/>
    <mergeCell ref="F187:F188"/>
    <mergeCell ref="F185:F186"/>
    <mergeCell ref="E185:E186"/>
    <mergeCell ref="D185:D186"/>
    <mergeCell ref="C185:C186"/>
    <mergeCell ref="B185:B186"/>
    <mergeCell ref="A185:A186"/>
    <mergeCell ref="N187:N188"/>
    <mergeCell ref="N185:N186"/>
    <mergeCell ref="M187:M188"/>
    <mergeCell ref="M185:M186"/>
    <mergeCell ref="N169:N170"/>
    <mergeCell ref="M169:M170"/>
    <mergeCell ref="F169:F170"/>
    <mergeCell ref="E169:E170"/>
    <mergeCell ref="D169:D170"/>
    <mergeCell ref="C169:C170"/>
    <mergeCell ref="B169:B170"/>
    <mergeCell ref="A169:A170"/>
    <mergeCell ref="F171:F174"/>
    <mergeCell ref="E171:E174"/>
    <mergeCell ref="D171:D174"/>
    <mergeCell ref="C171:C174"/>
    <mergeCell ref="B171:B174"/>
    <mergeCell ref="A171:A174"/>
    <mergeCell ref="N171:N174"/>
    <mergeCell ref="M171:M174"/>
    <mergeCell ref="F175:F180"/>
    <mergeCell ref="D175:D180"/>
    <mergeCell ref="C175:C180"/>
    <mergeCell ref="B175:B180"/>
    <mergeCell ref="A175:A180"/>
    <mergeCell ref="E175:E180"/>
    <mergeCell ref="N175:N180"/>
    <mergeCell ref="M175:M180"/>
    <mergeCell ref="F160:F166"/>
    <mergeCell ref="E160:E166"/>
    <mergeCell ref="D160:D166"/>
    <mergeCell ref="C160:C166"/>
    <mergeCell ref="B160:B166"/>
    <mergeCell ref="A160:A166"/>
    <mergeCell ref="F157:F159"/>
    <mergeCell ref="E157:E159"/>
    <mergeCell ref="D157:D159"/>
    <mergeCell ref="C157:C159"/>
    <mergeCell ref="B157:B159"/>
    <mergeCell ref="A157:A159"/>
    <mergeCell ref="N160:N166"/>
    <mergeCell ref="M160:M166"/>
    <mergeCell ref="N167:N168"/>
    <mergeCell ref="M167:M168"/>
    <mergeCell ref="F167:F168"/>
    <mergeCell ref="E167:E168"/>
    <mergeCell ref="D167:D168"/>
    <mergeCell ref="C167:C168"/>
    <mergeCell ref="B167:B168"/>
    <mergeCell ref="A167:A168"/>
    <mergeCell ref="N149:N151"/>
    <mergeCell ref="M149:M151"/>
    <mergeCell ref="F149:F151"/>
    <mergeCell ref="E149:E151"/>
    <mergeCell ref="D149:D151"/>
    <mergeCell ref="C149:C151"/>
    <mergeCell ref="B149:B151"/>
    <mergeCell ref="A149:A151"/>
    <mergeCell ref="N152:N156"/>
    <mergeCell ref="M152:M156"/>
    <mergeCell ref="F152:F156"/>
    <mergeCell ref="E152:E156"/>
    <mergeCell ref="D152:D156"/>
    <mergeCell ref="C152:C156"/>
    <mergeCell ref="B152:B156"/>
    <mergeCell ref="A152:A156"/>
    <mergeCell ref="N157:N159"/>
    <mergeCell ref="M157:M159"/>
    <mergeCell ref="B145:B146"/>
    <mergeCell ref="B142:B144"/>
    <mergeCell ref="A145:A146"/>
    <mergeCell ref="A142:A144"/>
    <mergeCell ref="N145:N146"/>
    <mergeCell ref="M145:M146"/>
    <mergeCell ref="N147:N148"/>
    <mergeCell ref="M147:M148"/>
    <mergeCell ref="F147:F148"/>
    <mergeCell ref="E147:E148"/>
    <mergeCell ref="D147:D148"/>
    <mergeCell ref="C147:C148"/>
    <mergeCell ref="B147:B148"/>
    <mergeCell ref="A147:A148"/>
    <mergeCell ref="M142:M144"/>
    <mergeCell ref="N142:N144"/>
    <mergeCell ref="F145:F146"/>
    <mergeCell ref="F142:F144"/>
    <mergeCell ref="E145:E146"/>
    <mergeCell ref="E142:E144"/>
    <mergeCell ref="D145:D146"/>
    <mergeCell ref="D142:D144"/>
    <mergeCell ref="C145:C146"/>
    <mergeCell ref="C142:C144"/>
    <mergeCell ref="M133:M135"/>
    <mergeCell ref="N133:N135"/>
    <mergeCell ref="E133:E135"/>
    <mergeCell ref="D133:D135"/>
    <mergeCell ref="C133:C135"/>
    <mergeCell ref="B133:B135"/>
    <mergeCell ref="A133:A135"/>
    <mergeCell ref="F133:F135"/>
    <mergeCell ref="F136:F139"/>
    <mergeCell ref="E136:E139"/>
    <mergeCell ref="D136:D139"/>
    <mergeCell ref="C136:C139"/>
    <mergeCell ref="B136:B139"/>
    <mergeCell ref="A136:A139"/>
    <mergeCell ref="N136:N139"/>
    <mergeCell ref="M136:M139"/>
    <mergeCell ref="F140:F141"/>
    <mergeCell ref="E140:E141"/>
    <mergeCell ref="D140:D141"/>
    <mergeCell ref="C140:C141"/>
    <mergeCell ref="B140:B141"/>
    <mergeCell ref="A140:A141"/>
    <mergeCell ref="N140:N141"/>
    <mergeCell ref="M140:M141"/>
    <mergeCell ref="F122:F124"/>
    <mergeCell ref="E122:E124"/>
    <mergeCell ref="D122:D124"/>
    <mergeCell ref="C122:C124"/>
    <mergeCell ref="B122:B124"/>
    <mergeCell ref="A122:A124"/>
    <mergeCell ref="N122:N124"/>
    <mergeCell ref="M122:M124"/>
    <mergeCell ref="E125:E130"/>
    <mergeCell ref="D125:D130"/>
    <mergeCell ref="C125:C130"/>
    <mergeCell ref="B125:B130"/>
    <mergeCell ref="A125:A130"/>
    <mergeCell ref="F125:F130"/>
    <mergeCell ref="N125:N130"/>
    <mergeCell ref="M125:M130"/>
    <mergeCell ref="N131:N132"/>
    <mergeCell ref="M131:M132"/>
    <mergeCell ref="F131:F132"/>
    <mergeCell ref="E131:E132"/>
    <mergeCell ref="D131:D132"/>
    <mergeCell ref="C131:C132"/>
    <mergeCell ref="B131:B132"/>
    <mergeCell ref="A131:A132"/>
    <mergeCell ref="D110:D111"/>
    <mergeCell ref="E110:E111"/>
    <mergeCell ref="F110:F111"/>
    <mergeCell ref="F108:F109"/>
    <mergeCell ref="E108:E109"/>
    <mergeCell ref="D108:D109"/>
    <mergeCell ref="C108:C109"/>
    <mergeCell ref="B108:B109"/>
    <mergeCell ref="B119:B121"/>
    <mergeCell ref="C119:C121"/>
    <mergeCell ref="D119:D121"/>
    <mergeCell ref="E119:E121"/>
    <mergeCell ref="F119:F121"/>
    <mergeCell ref="F116:F118"/>
    <mergeCell ref="E116:E118"/>
    <mergeCell ref="D116:D118"/>
    <mergeCell ref="C116:C118"/>
    <mergeCell ref="B116:B118"/>
    <mergeCell ref="M106:M107"/>
    <mergeCell ref="N102:N104"/>
    <mergeCell ref="M102:M104"/>
    <mergeCell ref="F106:F107"/>
    <mergeCell ref="E106:E107"/>
    <mergeCell ref="D106:D107"/>
    <mergeCell ref="C106:C107"/>
    <mergeCell ref="B106:B107"/>
    <mergeCell ref="A106:A107"/>
    <mergeCell ref="N106:N107"/>
    <mergeCell ref="N119:N121"/>
    <mergeCell ref="M119:M121"/>
    <mergeCell ref="N116:N118"/>
    <mergeCell ref="M116:M118"/>
    <mergeCell ref="N112:N115"/>
    <mergeCell ref="M112:M115"/>
    <mergeCell ref="N110:N111"/>
    <mergeCell ref="M110:M111"/>
    <mergeCell ref="N108:N109"/>
    <mergeCell ref="M108:M109"/>
    <mergeCell ref="A108:A109"/>
    <mergeCell ref="A116:A118"/>
    <mergeCell ref="A112:A115"/>
    <mergeCell ref="A110:A111"/>
    <mergeCell ref="A119:A121"/>
    <mergeCell ref="F112:F115"/>
    <mergeCell ref="E112:E115"/>
    <mergeCell ref="D112:D115"/>
    <mergeCell ref="C112:C115"/>
    <mergeCell ref="B112:B115"/>
    <mergeCell ref="B110:B111"/>
    <mergeCell ref="C110:C111"/>
    <mergeCell ref="N98:N101"/>
    <mergeCell ref="M98:M101"/>
    <mergeCell ref="F98:F101"/>
    <mergeCell ref="E98:E101"/>
    <mergeCell ref="F85:F97"/>
    <mergeCell ref="E85:E97"/>
    <mergeCell ref="D85:D97"/>
    <mergeCell ref="D98:D101"/>
    <mergeCell ref="C98:C101"/>
    <mergeCell ref="C85:C97"/>
    <mergeCell ref="B98:B101"/>
    <mergeCell ref="A98:A101"/>
    <mergeCell ref="F102:F104"/>
    <mergeCell ref="E102:E104"/>
    <mergeCell ref="D102:D104"/>
    <mergeCell ref="C102:C104"/>
    <mergeCell ref="B102:B104"/>
    <mergeCell ref="A102:A104"/>
    <mergeCell ref="F78:F79"/>
    <mergeCell ref="E78:E79"/>
    <mergeCell ref="D78:D79"/>
    <mergeCell ref="C78:C79"/>
    <mergeCell ref="B78:B79"/>
    <mergeCell ref="A78:A79"/>
    <mergeCell ref="N78:N79"/>
    <mergeCell ref="M78:M79"/>
    <mergeCell ref="N80:N81"/>
    <mergeCell ref="M80:M81"/>
    <mergeCell ref="F80:F81"/>
    <mergeCell ref="E80:E81"/>
    <mergeCell ref="D80:D81"/>
    <mergeCell ref="C80:C81"/>
    <mergeCell ref="B80:B81"/>
    <mergeCell ref="B85:B97"/>
    <mergeCell ref="A85:A97"/>
    <mergeCell ref="A80:A81"/>
    <mergeCell ref="N82:N84"/>
    <mergeCell ref="M82:M84"/>
    <mergeCell ref="F82:F84"/>
    <mergeCell ref="E82:E84"/>
    <mergeCell ref="D82:D84"/>
    <mergeCell ref="C82:C84"/>
    <mergeCell ref="B82:B84"/>
    <mergeCell ref="A82:A84"/>
    <mergeCell ref="N85:N97"/>
    <mergeCell ref="M85:M97"/>
    <mergeCell ref="N70:N73"/>
    <mergeCell ref="M70:M73"/>
    <mergeCell ref="E74:E77"/>
    <mergeCell ref="D74:D77"/>
    <mergeCell ref="C74:C77"/>
    <mergeCell ref="B65:B69"/>
    <mergeCell ref="A65:A69"/>
    <mergeCell ref="E65:E69"/>
    <mergeCell ref="E70:E73"/>
    <mergeCell ref="D70:D73"/>
    <mergeCell ref="C70:C73"/>
    <mergeCell ref="B70:B73"/>
    <mergeCell ref="A70:A73"/>
    <mergeCell ref="F70:F73"/>
    <mergeCell ref="N65:N69"/>
    <mergeCell ref="M65:M69"/>
    <mergeCell ref="F65:F69"/>
    <mergeCell ref="D65:D69"/>
    <mergeCell ref="C65:C69"/>
    <mergeCell ref="B74:B77"/>
    <mergeCell ref="A74:A77"/>
    <mergeCell ref="F74:F77"/>
    <mergeCell ref="N74:N77"/>
    <mergeCell ref="M74:M77"/>
    <mergeCell ref="C59:C64"/>
    <mergeCell ref="B59:B64"/>
    <mergeCell ref="A59:A64"/>
    <mergeCell ref="F59:F64"/>
    <mergeCell ref="E59:E64"/>
    <mergeCell ref="N59:N64"/>
    <mergeCell ref="M59:M64"/>
    <mergeCell ref="M21:M22"/>
    <mergeCell ref="M19:M20"/>
    <mergeCell ref="A51:A57"/>
    <mergeCell ref="E51:E57"/>
    <mergeCell ref="D51:D57"/>
    <mergeCell ref="C51:C57"/>
    <mergeCell ref="B51:B57"/>
    <mergeCell ref="F43:F48"/>
    <mergeCell ref="E43:E48"/>
    <mergeCell ref="D43:D48"/>
    <mergeCell ref="C43:C48"/>
    <mergeCell ref="B43:B48"/>
    <mergeCell ref="C49:C50"/>
    <mergeCell ref="B49:B50"/>
    <mergeCell ref="F49:F50"/>
    <mergeCell ref="E49:E50"/>
    <mergeCell ref="B30:B42"/>
    <mergeCell ref="B23:B26"/>
    <mergeCell ref="A23:A26"/>
    <mergeCell ref="C23:C26"/>
    <mergeCell ref="C21:C22"/>
    <mergeCell ref="B21:B22"/>
    <mergeCell ref="A21:A22"/>
    <mergeCell ref="A30:A42"/>
    <mergeCell ref="A43:A48"/>
    <mergeCell ref="M14:M18"/>
    <mergeCell ref="M51:M57"/>
    <mergeCell ref="D59:D64"/>
    <mergeCell ref="N2:N6"/>
    <mergeCell ref="M2:M6"/>
    <mergeCell ref="M7:M10"/>
    <mergeCell ref="M11:M13"/>
    <mergeCell ref="M49:M50"/>
    <mergeCell ref="M43:M48"/>
    <mergeCell ref="M30:M42"/>
    <mergeCell ref="M27:M29"/>
    <mergeCell ref="M23:M26"/>
    <mergeCell ref="N23:N26"/>
    <mergeCell ref="N21:N22"/>
    <mergeCell ref="N19:N20"/>
    <mergeCell ref="N14:N18"/>
    <mergeCell ref="N11:N13"/>
    <mergeCell ref="N7:N10"/>
    <mergeCell ref="N51:N57"/>
    <mergeCell ref="N49:N50"/>
    <mergeCell ref="N43:N48"/>
    <mergeCell ref="N30:N42"/>
    <mergeCell ref="N27:N29"/>
    <mergeCell ref="F51:F57"/>
    <mergeCell ref="F23:F26"/>
    <mergeCell ref="E23:E26"/>
    <mergeCell ref="D23:D26"/>
    <mergeCell ref="F21:F22"/>
    <mergeCell ref="E21:E22"/>
    <mergeCell ref="D21:D22"/>
    <mergeCell ref="D49:D50"/>
    <mergeCell ref="E2:E6"/>
    <mergeCell ref="A49:A50"/>
    <mergeCell ref="A27:A29"/>
    <mergeCell ref="F27:F29"/>
    <mergeCell ref="E27:E29"/>
    <mergeCell ref="D27:D29"/>
    <mergeCell ref="C27:C29"/>
    <mergeCell ref="B27:B29"/>
    <mergeCell ref="F30:F42"/>
    <mergeCell ref="E30:E42"/>
    <mergeCell ref="D30:D42"/>
    <mergeCell ref="C30:C42"/>
    <mergeCell ref="A2:A6"/>
    <mergeCell ref="A14:A18"/>
    <mergeCell ref="B11:B13"/>
    <mergeCell ref="B7:B10"/>
    <mergeCell ref="B2:B6"/>
    <mergeCell ref="C2:C6"/>
    <mergeCell ref="A19:A20"/>
    <mergeCell ref="F19:F20"/>
    <mergeCell ref="E19:E20"/>
    <mergeCell ref="D19:D20"/>
    <mergeCell ref="C19:C20"/>
    <mergeCell ref="B19:B20"/>
    <mergeCell ref="F2:F6"/>
    <mergeCell ref="F7:F10"/>
    <mergeCell ref="F11:F13"/>
    <mergeCell ref="B14:B18"/>
    <mergeCell ref="C14:C18"/>
    <mergeCell ref="D14:D18"/>
    <mergeCell ref="F14:F18"/>
    <mergeCell ref="E14:E18"/>
    <mergeCell ref="D2:D6"/>
    <mergeCell ref="C7:C10"/>
    <mergeCell ref="D7:D10"/>
    <mergeCell ref="E7:E10"/>
    <mergeCell ref="C11:C13"/>
    <mergeCell ref="D11:D13"/>
    <mergeCell ref="E11:E13"/>
    <mergeCell ref="A11:A13"/>
    <mergeCell ref="A7:A10"/>
    <mergeCell ref="N218:N220"/>
    <mergeCell ref="M218:M220"/>
    <mergeCell ref="F218:F220"/>
    <mergeCell ref="E218:E220"/>
    <mergeCell ref="D218:D220"/>
    <mergeCell ref="C218:C220"/>
    <mergeCell ref="B218:B220"/>
    <mergeCell ref="A218:A220"/>
    <mergeCell ref="F221:F231"/>
    <mergeCell ref="E221:E231"/>
    <mergeCell ref="D221:D231"/>
    <mergeCell ref="C221:C231"/>
    <mergeCell ref="B221:B231"/>
    <mergeCell ref="A221:A231"/>
    <mergeCell ref="N221:N231"/>
    <mergeCell ref="M221:M231"/>
    <mergeCell ref="F214:F215"/>
    <mergeCell ref="E214:E215"/>
    <mergeCell ref="D214:D215"/>
    <mergeCell ref="C214:C215"/>
    <mergeCell ref="B214:B215"/>
    <mergeCell ref="A214:A215"/>
    <mergeCell ref="N214:N215"/>
    <mergeCell ref="M214:M215"/>
    <mergeCell ref="N216:N217"/>
    <mergeCell ref="M216:M217"/>
    <mergeCell ref="F216:F217"/>
    <mergeCell ref="E216:E217"/>
    <mergeCell ref="D216:D217"/>
    <mergeCell ref="C216:C217"/>
    <mergeCell ref="B216:B217"/>
    <mergeCell ref="A216:A217"/>
    <mergeCell ref="N232:N237"/>
    <mergeCell ref="M232:M237"/>
    <mergeCell ref="F232:F237"/>
    <mergeCell ref="E232:E237"/>
    <mergeCell ref="D232:D237"/>
    <mergeCell ref="C232:C237"/>
    <mergeCell ref="B232:B237"/>
    <mergeCell ref="N240:N241"/>
    <mergeCell ref="M240:M241"/>
    <mergeCell ref="F240:F241"/>
    <mergeCell ref="E240:E241"/>
    <mergeCell ref="D240:D241"/>
    <mergeCell ref="C240:C241"/>
    <mergeCell ref="B240:B241"/>
    <mergeCell ref="A232:A237"/>
    <mergeCell ref="N238:N239"/>
    <mergeCell ref="M238:M239"/>
    <mergeCell ref="F238:F239"/>
    <mergeCell ref="E238:E239"/>
    <mergeCell ref="D238:D239"/>
    <mergeCell ref="C238:C239"/>
    <mergeCell ref="B238:B239"/>
    <mergeCell ref="A238:A239"/>
    <mergeCell ref="N245:N252"/>
    <mergeCell ref="F245:F252"/>
    <mergeCell ref="E245:E252"/>
    <mergeCell ref="D245:D252"/>
    <mergeCell ref="C245:C252"/>
    <mergeCell ref="B245:B252"/>
    <mergeCell ref="A245:A252"/>
    <mergeCell ref="M245:M252"/>
    <mergeCell ref="A240:A241"/>
    <mergeCell ref="F242:F244"/>
    <mergeCell ref="E242:E244"/>
    <mergeCell ref="D242:D244"/>
    <mergeCell ref="C242:C244"/>
    <mergeCell ref="B242:B244"/>
    <mergeCell ref="A242:A244"/>
    <mergeCell ref="N242:N244"/>
    <mergeCell ref="M242:M244"/>
    <mergeCell ref="B256:B260"/>
    <mergeCell ref="A256:A260"/>
    <mergeCell ref="N262:N264"/>
    <mergeCell ref="M262:M264"/>
    <mergeCell ref="F262:F264"/>
    <mergeCell ref="E262:E264"/>
    <mergeCell ref="D262:D264"/>
    <mergeCell ref="C262:C264"/>
    <mergeCell ref="B262:B264"/>
    <mergeCell ref="A262:A264"/>
    <mergeCell ref="N253:N255"/>
    <mergeCell ref="M253:M255"/>
    <mergeCell ref="N256:N260"/>
    <mergeCell ref="M256:M260"/>
    <mergeCell ref="F256:F260"/>
    <mergeCell ref="E256:E260"/>
    <mergeCell ref="D256:D260"/>
    <mergeCell ref="C256:C260"/>
    <mergeCell ref="N275:N279"/>
    <mergeCell ref="M275:M279"/>
    <mergeCell ref="F275:F279"/>
    <mergeCell ref="E275:E279"/>
    <mergeCell ref="D275:D279"/>
    <mergeCell ref="C275:C279"/>
    <mergeCell ref="B275:B279"/>
    <mergeCell ref="A275:A279"/>
    <mergeCell ref="N280:N282"/>
    <mergeCell ref="M280:M282"/>
    <mergeCell ref="F280:F282"/>
    <mergeCell ref="E280:E282"/>
    <mergeCell ref="D280:D282"/>
    <mergeCell ref="C280:C282"/>
    <mergeCell ref="B280:B282"/>
    <mergeCell ref="A280:A282"/>
    <mergeCell ref="F265:F271"/>
    <mergeCell ref="E265:E271"/>
    <mergeCell ref="D265:D271"/>
    <mergeCell ref="C265:C271"/>
    <mergeCell ref="B265:B271"/>
    <mergeCell ref="A265:A271"/>
    <mergeCell ref="N265:N271"/>
    <mergeCell ref="M265:M271"/>
    <mergeCell ref="N272:N274"/>
    <mergeCell ref="M272:M274"/>
    <mergeCell ref="F272:F274"/>
    <mergeCell ref="E272:E274"/>
    <mergeCell ref="D272:D274"/>
    <mergeCell ref="C272:C274"/>
    <mergeCell ref="B272:B274"/>
    <mergeCell ref="A272:A274"/>
    <mergeCell ref="D344:D345"/>
    <mergeCell ref="C344:C345"/>
    <mergeCell ref="B344:B345"/>
    <mergeCell ref="A344:A345"/>
    <mergeCell ref="O342:O343"/>
    <mergeCell ref="N342:N343"/>
    <mergeCell ref="M342:M343"/>
    <mergeCell ref="F342:F343"/>
    <mergeCell ref="E342:E343"/>
    <mergeCell ref="D342:D343"/>
    <mergeCell ref="C342:C343"/>
    <mergeCell ref="B342:B343"/>
    <mergeCell ref="A342:A343"/>
    <mergeCell ref="O350:O363"/>
    <mergeCell ref="N350:N363"/>
    <mergeCell ref="M350:M363"/>
    <mergeCell ref="F350:F363"/>
    <mergeCell ref="E350:E363"/>
    <mergeCell ref="D350:D363"/>
    <mergeCell ref="C350:C363"/>
    <mergeCell ref="B350:B363"/>
    <mergeCell ref="A350:A363"/>
    <mergeCell ref="O346:O349"/>
    <mergeCell ref="N346:N349"/>
    <mergeCell ref="M346:M349"/>
    <mergeCell ref="F346:F349"/>
    <mergeCell ref="E346:E349"/>
    <mergeCell ref="D346:D349"/>
    <mergeCell ref="C346:C349"/>
    <mergeCell ref="B346:B349"/>
    <mergeCell ref="A346:A349"/>
    <mergeCell ref="O368:O369"/>
    <mergeCell ref="N368:N369"/>
    <mergeCell ref="M368:M369"/>
    <mergeCell ref="F368:F369"/>
    <mergeCell ref="E368:E369"/>
    <mergeCell ref="D368:D369"/>
    <mergeCell ref="C368:C369"/>
    <mergeCell ref="B368:B369"/>
    <mergeCell ref="A368:A369"/>
    <mergeCell ref="O364:O367"/>
    <mergeCell ref="N364:N367"/>
    <mergeCell ref="M364:M367"/>
    <mergeCell ref="F364:F367"/>
    <mergeCell ref="E364:E367"/>
    <mergeCell ref="D364:D367"/>
    <mergeCell ref="C364:C367"/>
    <mergeCell ref="B364:B367"/>
    <mergeCell ref="A364:A367"/>
    <mergeCell ref="O372:O373"/>
    <mergeCell ref="N372:N373"/>
    <mergeCell ref="M372:M373"/>
    <mergeCell ref="F372:F373"/>
    <mergeCell ref="E372:E373"/>
    <mergeCell ref="D372:D373"/>
    <mergeCell ref="C372:C373"/>
    <mergeCell ref="B372:B373"/>
    <mergeCell ref="A372:A373"/>
    <mergeCell ref="O370:O371"/>
    <mergeCell ref="N370:N371"/>
    <mergeCell ref="M370:M371"/>
    <mergeCell ref="F370:F371"/>
    <mergeCell ref="E370:E371"/>
    <mergeCell ref="D370:D371"/>
    <mergeCell ref="C370:C371"/>
    <mergeCell ref="B370:B371"/>
    <mergeCell ref="A370:A371"/>
    <mergeCell ref="O376:O380"/>
    <mergeCell ref="N376:N380"/>
    <mergeCell ref="M376:M380"/>
    <mergeCell ref="F376:F380"/>
    <mergeCell ref="E376:E380"/>
    <mergeCell ref="D376:D380"/>
    <mergeCell ref="C376:C380"/>
    <mergeCell ref="B376:B380"/>
    <mergeCell ref="A376:A380"/>
    <mergeCell ref="O374:O375"/>
    <mergeCell ref="N374:N375"/>
    <mergeCell ref="M374:M375"/>
    <mergeCell ref="F374:F375"/>
    <mergeCell ref="E374:E375"/>
    <mergeCell ref="D374:D375"/>
    <mergeCell ref="C374:C375"/>
    <mergeCell ref="B374:B375"/>
    <mergeCell ref="A374:A375"/>
    <mergeCell ref="A381:A388"/>
    <mergeCell ref="O389:O391"/>
    <mergeCell ref="N389:N391"/>
    <mergeCell ref="M389:M391"/>
    <mergeCell ref="F389:F391"/>
    <mergeCell ref="E389:E391"/>
    <mergeCell ref="D389:D391"/>
    <mergeCell ref="C389:C391"/>
    <mergeCell ref="B389:B391"/>
    <mergeCell ref="A389:A391"/>
    <mergeCell ref="O392:O394"/>
    <mergeCell ref="N392:N394"/>
    <mergeCell ref="M392:M394"/>
    <mergeCell ref="F392:F394"/>
    <mergeCell ref="E392:E394"/>
    <mergeCell ref="D392:D394"/>
    <mergeCell ref="C392:C394"/>
    <mergeCell ref="B392:B394"/>
    <mergeCell ref="A392:A394"/>
    <mergeCell ref="O381:O388"/>
    <mergeCell ref="N381:N388"/>
    <mergeCell ref="M381:M388"/>
    <mergeCell ref="F381:F388"/>
    <mergeCell ref="E381:E388"/>
    <mergeCell ref="D381:D388"/>
    <mergeCell ref="C381:C388"/>
    <mergeCell ref="B381:B388"/>
    <mergeCell ref="F401:F402"/>
    <mergeCell ref="E401:E402"/>
    <mergeCell ref="D401:D402"/>
    <mergeCell ref="C401:C402"/>
    <mergeCell ref="B401:B402"/>
    <mergeCell ref="A401:A402"/>
    <mergeCell ref="O401:O402"/>
    <mergeCell ref="N401:N402"/>
    <mergeCell ref="M401:M402"/>
    <mergeCell ref="E395:E397"/>
    <mergeCell ref="D395:D397"/>
    <mergeCell ref="C395:C397"/>
    <mergeCell ref="B395:B397"/>
    <mergeCell ref="A395:A397"/>
    <mergeCell ref="O398:O399"/>
    <mergeCell ref="N398:N399"/>
    <mergeCell ref="M398:M399"/>
    <mergeCell ref="F398:F399"/>
    <mergeCell ref="E398:E399"/>
    <mergeCell ref="D398:D399"/>
    <mergeCell ref="C398:C399"/>
    <mergeCell ref="B398:B399"/>
    <mergeCell ref="A398:A399"/>
    <mergeCell ref="O395:O397"/>
    <mergeCell ref="N395:N397"/>
    <mergeCell ref="M395:M397"/>
    <mergeCell ref="F395:F397"/>
    <mergeCell ref="M409:M414"/>
    <mergeCell ref="N409:N414"/>
    <mergeCell ref="O409:O414"/>
    <mergeCell ref="F409:F414"/>
    <mergeCell ref="E409:E414"/>
    <mergeCell ref="D409:D414"/>
    <mergeCell ref="C409:C414"/>
    <mergeCell ref="B409:B414"/>
    <mergeCell ref="A409:A414"/>
    <mergeCell ref="O403:O408"/>
    <mergeCell ref="N403:N408"/>
    <mergeCell ref="M403:M408"/>
    <mergeCell ref="F403:F408"/>
    <mergeCell ref="E403:E408"/>
    <mergeCell ref="D403:D408"/>
    <mergeCell ref="C403:C408"/>
    <mergeCell ref="B403:B408"/>
    <mergeCell ref="A403:A408"/>
    <mergeCell ref="O421:O424"/>
    <mergeCell ref="N421:N424"/>
    <mergeCell ref="M421:M424"/>
    <mergeCell ref="F421:F424"/>
    <mergeCell ref="E421:E424"/>
    <mergeCell ref="D421:D424"/>
    <mergeCell ref="C421:C424"/>
    <mergeCell ref="B421:B424"/>
    <mergeCell ref="A421:A424"/>
    <mergeCell ref="O425:O432"/>
    <mergeCell ref="N425:N432"/>
    <mergeCell ref="M425:M432"/>
    <mergeCell ref="F425:F432"/>
    <mergeCell ref="E425:E432"/>
    <mergeCell ref="D425:D432"/>
    <mergeCell ref="M415:M420"/>
    <mergeCell ref="N415:N420"/>
    <mergeCell ref="O415:O420"/>
    <mergeCell ref="F415:F420"/>
    <mergeCell ref="E415:E420"/>
    <mergeCell ref="D415:D420"/>
    <mergeCell ref="C415:C420"/>
    <mergeCell ref="B415:B420"/>
    <mergeCell ref="A415:A420"/>
    <mergeCell ref="C425:C432"/>
    <mergeCell ref="B425:B432"/>
    <mergeCell ref="A425:A432"/>
    <mergeCell ref="O433:O435"/>
    <mergeCell ref="N433:N435"/>
    <mergeCell ref="M433:M435"/>
    <mergeCell ref="F433:F435"/>
    <mergeCell ref="E433:E435"/>
    <mergeCell ref="D433:D435"/>
    <mergeCell ref="C433:C435"/>
    <mergeCell ref="B433:B435"/>
    <mergeCell ref="A433:A435"/>
    <mergeCell ref="O436:O439"/>
    <mergeCell ref="N436:N439"/>
    <mergeCell ref="M436:M439"/>
    <mergeCell ref="F436:F439"/>
    <mergeCell ref="E436:E439"/>
    <mergeCell ref="D436:D439"/>
    <mergeCell ref="C436:C439"/>
    <mergeCell ref="B436:B439"/>
    <mergeCell ref="A436:A439"/>
    <mergeCell ref="O444:O445"/>
    <mergeCell ref="N444:N445"/>
    <mergeCell ref="M444:M445"/>
    <mergeCell ref="F444:F445"/>
    <mergeCell ref="E444:E445"/>
    <mergeCell ref="D444:D445"/>
    <mergeCell ref="C444:C445"/>
    <mergeCell ref="B444:B445"/>
    <mergeCell ref="A444:A445"/>
    <mergeCell ref="N440:N441"/>
    <mergeCell ref="M440:M441"/>
    <mergeCell ref="F440:F441"/>
    <mergeCell ref="E440:E441"/>
    <mergeCell ref="D440:D441"/>
    <mergeCell ref="C440:C441"/>
    <mergeCell ref="B440:B441"/>
    <mergeCell ref="A440:A441"/>
    <mergeCell ref="O442:O443"/>
    <mergeCell ref="N442:N443"/>
    <mergeCell ref="M442:M443"/>
    <mergeCell ref="F442:F443"/>
    <mergeCell ref="E442:E443"/>
    <mergeCell ref="D442:D443"/>
    <mergeCell ref="C442:C443"/>
    <mergeCell ref="B442:B443"/>
    <mergeCell ref="A442:A443"/>
    <mergeCell ref="O440:O441"/>
    <mergeCell ref="O449:O450"/>
    <mergeCell ref="N449:N450"/>
    <mergeCell ref="M449:M450"/>
    <mergeCell ref="F449:F450"/>
    <mergeCell ref="E449:E450"/>
    <mergeCell ref="D449:D450"/>
    <mergeCell ref="C449:C450"/>
    <mergeCell ref="B449:B450"/>
    <mergeCell ref="A449:A450"/>
    <mergeCell ref="O446:O448"/>
    <mergeCell ref="N446:N448"/>
    <mergeCell ref="M446:M448"/>
    <mergeCell ref="F446:F448"/>
    <mergeCell ref="E446:E448"/>
    <mergeCell ref="D446:D448"/>
    <mergeCell ref="C446:C448"/>
    <mergeCell ref="B446:B448"/>
    <mergeCell ref="A446:A448"/>
    <mergeCell ref="A452:A454"/>
    <mergeCell ref="O455:O459"/>
    <mergeCell ref="N455:N459"/>
    <mergeCell ref="M455:M459"/>
    <mergeCell ref="F455:F459"/>
    <mergeCell ref="E455:E459"/>
    <mergeCell ref="D455:D459"/>
    <mergeCell ref="C455:C459"/>
    <mergeCell ref="B455:B459"/>
    <mergeCell ref="A455:A459"/>
    <mergeCell ref="O452:O454"/>
    <mergeCell ref="N452:N454"/>
    <mergeCell ref="M452:M454"/>
    <mergeCell ref="F452:F454"/>
    <mergeCell ref="E452:E454"/>
    <mergeCell ref="D452:D454"/>
    <mergeCell ref="C452:C454"/>
    <mergeCell ref="B452:B454"/>
    <mergeCell ref="O462:O463"/>
    <mergeCell ref="N462:N463"/>
    <mergeCell ref="M462:M463"/>
    <mergeCell ref="F462:F463"/>
    <mergeCell ref="E462:E463"/>
    <mergeCell ref="D462:D463"/>
    <mergeCell ref="C462:C463"/>
    <mergeCell ref="B462:B463"/>
    <mergeCell ref="A462:A463"/>
    <mergeCell ref="O460:O461"/>
    <mergeCell ref="N460:N461"/>
    <mergeCell ref="M460:M461"/>
    <mergeCell ref="F460:F461"/>
    <mergeCell ref="E460:E461"/>
    <mergeCell ref="D460:D461"/>
    <mergeCell ref="C460:C461"/>
    <mergeCell ref="B460:B461"/>
    <mergeCell ref="A460:A461"/>
    <mergeCell ref="A466:A467"/>
    <mergeCell ref="B466:B467"/>
    <mergeCell ref="C466:C467"/>
    <mergeCell ref="D466:D467"/>
    <mergeCell ref="E466:E467"/>
    <mergeCell ref="F466:F467"/>
    <mergeCell ref="O466:O467"/>
    <mergeCell ref="N466:N467"/>
    <mergeCell ref="M466:M467"/>
    <mergeCell ref="O464:O465"/>
    <mergeCell ref="N464:N465"/>
    <mergeCell ref="M464:M465"/>
    <mergeCell ref="F464:F465"/>
    <mergeCell ref="E464:E465"/>
    <mergeCell ref="D464:D465"/>
    <mergeCell ref="C464:C465"/>
    <mergeCell ref="B464:B465"/>
    <mergeCell ref="A464:A465"/>
    <mergeCell ref="O471:O472"/>
    <mergeCell ref="N471:N472"/>
    <mergeCell ref="M471:M472"/>
    <mergeCell ref="F471:F472"/>
    <mergeCell ref="E471:E472"/>
    <mergeCell ref="D471:D472"/>
    <mergeCell ref="C471:C472"/>
    <mergeCell ref="B471:B472"/>
    <mergeCell ref="A471:A472"/>
    <mergeCell ref="O468:O470"/>
    <mergeCell ref="N468:N470"/>
    <mergeCell ref="M468:M470"/>
    <mergeCell ref="F468:F470"/>
    <mergeCell ref="E468:E470"/>
    <mergeCell ref="D468:D470"/>
    <mergeCell ref="C468:C470"/>
    <mergeCell ref="B468:B470"/>
    <mergeCell ref="A468:A470"/>
    <mergeCell ref="O476:O479"/>
    <mergeCell ref="N476:N479"/>
    <mergeCell ref="M476:M479"/>
    <mergeCell ref="F476:F479"/>
    <mergeCell ref="E476:E479"/>
    <mergeCell ref="D476:D479"/>
    <mergeCell ref="C476:C479"/>
    <mergeCell ref="B476:B479"/>
    <mergeCell ref="A476:A479"/>
    <mergeCell ref="O473:O475"/>
    <mergeCell ref="N473:N475"/>
    <mergeCell ref="M473:M475"/>
    <mergeCell ref="F473:F475"/>
    <mergeCell ref="E473:E475"/>
    <mergeCell ref="D473:D475"/>
    <mergeCell ref="C473:C475"/>
    <mergeCell ref="B473:B475"/>
    <mergeCell ref="A473:A475"/>
    <mergeCell ref="D500:D503"/>
    <mergeCell ref="C500:C503"/>
    <mergeCell ref="B500:B503"/>
    <mergeCell ref="O483:O492"/>
    <mergeCell ref="N483:N492"/>
    <mergeCell ref="M483:M492"/>
    <mergeCell ref="F483:F492"/>
    <mergeCell ref="E483:E492"/>
    <mergeCell ref="D483:D492"/>
    <mergeCell ref="C483:C492"/>
    <mergeCell ref="B483:B492"/>
    <mergeCell ref="A483:A492"/>
    <mergeCell ref="O480:O482"/>
    <mergeCell ref="N480:N482"/>
    <mergeCell ref="M480:M482"/>
    <mergeCell ref="F480:F482"/>
    <mergeCell ref="D480:D482"/>
    <mergeCell ref="E480:E482"/>
    <mergeCell ref="C480:C482"/>
    <mergeCell ref="B480:B482"/>
    <mergeCell ref="A480:A482"/>
    <mergeCell ref="A500:A503"/>
    <mergeCell ref="O504:O507"/>
    <mergeCell ref="N504:N507"/>
    <mergeCell ref="M504:M507"/>
    <mergeCell ref="F504:F507"/>
    <mergeCell ref="E504:E507"/>
    <mergeCell ref="D504:D507"/>
    <mergeCell ref="C504:C507"/>
    <mergeCell ref="B504:B507"/>
    <mergeCell ref="A504:A507"/>
    <mergeCell ref="A493:A495"/>
    <mergeCell ref="O496:O497"/>
    <mergeCell ref="N496:N497"/>
    <mergeCell ref="M496:M497"/>
    <mergeCell ref="F496:F497"/>
    <mergeCell ref="E496:E497"/>
    <mergeCell ref="D496:D497"/>
    <mergeCell ref="C496:C497"/>
    <mergeCell ref="B496:B497"/>
    <mergeCell ref="A496:A497"/>
    <mergeCell ref="O493:O495"/>
    <mergeCell ref="N493:N495"/>
    <mergeCell ref="M493:M495"/>
    <mergeCell ref="F493:F495"/>
    <mergeCell ref="E493:E495"/>
    <mergeCell ref="D493:D495"/>
    <mergeCell ref="C493:C495"/>
    <mergeCell ref="B493:B495"/>
    <mergeCell ref="O500:O503"/>
    <mergeCell ref="N500:N503"/>
    <mergeCell ref="M500:M503"/>
    <mergeCell ref="F500:F503"/>
    <mergeCell ref="E500:E503"/>
    <mergeCell ref="O510:O522"/>
    <mergeCell ref="N510:N522"/>
    <mergeCell ref="M510:M522"/>
    <mergeCell ref="F510:F522"/>
    <mergeCell ref="E510:E522"/>
    <mergeCell ref="D510:D522"/>
    <mergeCell ref="C510:C522"/>
    <mergeCell ref="B510:B522"/>
    <mergeCell ref="A510:A522"/>
    <mergeCell ref="O508:O509"/>
    <mergeCell ref="N508:N509"/>
    <mergeCell ref="M508:M509"/>
    <mergeCell ref="F508:F509"/>
    <mergeCell ref="E508:E509"/>
    <mergeCell ref="D508:D509"/>
    <mergeCell ref="C508:C509"/>
    <mergeCell ref="B508:B509"/>
    <mergeCell ref="A508:A509"/>
    <mergeCell ref="A523:A538"/>
    <mergeCell ref="O540:O541"/>
    <mergeCell ref="N540:N541"/>
    <mergeCell ref="M540:M541"/>
    <mergeCell ref="F540:F541"/>
    <mergeCell ref="E540:E541"/>
    <mergeCell ref="D540:D541"/>
    <mergeCell ref="C540:C541"/>
    <mergeCell ref="B540:B541"/>
    <mergeCell ref="A540:A541"/>
    <mergeCell ref="O523:O538"/>
    <mergeCell ref="N523:N538"/>
    <mergeCell ref="M523:M538"/>
    <mergeCell ref="F523:F538"/>
    <mergeCell ref="E523:E538"/>
    <mergeCell ref="D523:D538"/>
    <mergeCell ref="C523:C538"/>
    <mergeCell ref="B523:B538"/>
    <mergeCell ref="B550:B553"/>
    <mergeCell ref="A550:A553"/>
    <mergeCell ref="O550:O553"/>
    <mergeCell ref="N550:N553"/>
    <mergeCell ref="M550:M553"/>
    <mergeCell ref="F550:F553"/>
    <mergeCell ref="E550:E553"/>
    <mergeCell ref="D550:D553"/>
    <mergeCell ref="C550:C553"/>
    <mergeCell ref="N542:N547"/>
    <mergeCell ref="M542:M547"/>
    <mergeCell ref="F542:F547"/>
    <mergeCell ref="E542:E547"/>
    <mergeCell ref="D542:D547"/>
    <mergeCell ref="C542:C547"/>
    <mergeCell ref="B542:B547"/>
    <mergeCell ref="A542:A547"/>
    <mergeCell ref="O548:O549"/>
    <mergeCell ref="N548:N549"/>
    <mergeCell ref="M548:M549"/>
    <mergeCell ref="F548:F549"/>
    <mergeCell ref="E548:E549"/>
    <mergeCell ref="D548:D549"/>
    <mergeCell ref="C548:C549"/>
    <mergeCell ref="B548:B549"/>
    <mergeCell ref="A548:A549"/>
    <mergeCell ref="O650:O656"/>
    <mergeCell ref="N650:N656"/>
    <mergeCell ref="M650:M656"/>
    <mergeCell ref="F650:F656"/>
    <mergeCell ref="E650:E656"/>
    <mergeCell ref="D650:D656"/>
    <mergeCell ref="C650:C656"/>
    <mergeCell ref="B650:B656"/>
    <mergeCell ref="A650:A656"/>
    <mergeCell ref="O646:O647"/>
    <mergeCell ref="N646:N647"/>
    <mergeCell ref="M646:M647"/>
    <mergeCell ref="F646:F647"/>
    <mergeCell ref="E646:E647"/>
    <mergeCell ref="D646:D647"/>
    <mergeCell ref="C646:C647"/>
    <mergeCell ref="B646:B647"/>
    <mergeCell ref="A646:A647"/>
    <mergeCell ref="O648:O649"/>
    <mergeCell ref="N648:N649"/>
    <mergeCell ref="M648:M649"/>
    <mergeCell ref="F648:F649"/>
    <mergeCell ref="E648:E649"/>
    <mergeCell ref="D648:D649"/>
    <mergeCell ref="C648:C649"/>
    <mergeCell ref="B648:B649"/>
    <mergeCell ref="A648:A649"/>
    <mergeCell ref="O657:O662"/>
    <mergeCell ref="N657:N662"/>
    <mergeCell ref="M657:M662"/>
    <mergeCell ref="F657:F662"/>
    <mergeCell ref="E657:E662"/>
    <mergeCell ref="D657:D662"/>
    <mergeCell ref="C657:C662"/>
    <mergeCell ref="B657:B662"/>
    <mergeCell ref="A657:A662"/>
    <mergeCell ref="O663:O674"/>
    <mergeCell ref="N663:N674"/>
    <mergeCell ref="M663:M674"/>
    <mergeCell ref="F663:F674"/>
    <mergeCell ref="E663:E674"/>
    <mergeCell ref="D663:D674"/>
    <mergeCell ref="C663:C674"/>
    <mergeCell ref="B663:B674"/>
    <mergeCell ref="A663:A674"/>
    <mergeCell ref="N675:N684"/>
    <mergeCell ref="M675:M684"/>
    <mergeCell ref="F675:F684"/>
    <mergeCell ref="E675:E684"/>
    <mergeCell ref="D675:D684"/>
    <mergeCell ref="C675:C684"/>
    <mergeCell ref="B675:B684"/>
    <mergeCell ref="A675:A684"/>
    <mergeCell ref="O675:O684"/>
    <mergeCell ref="O685:O687"/>
    <mergeCell ref="N685:N687"/>
    <mergeCell ref="M685:M687"/>
    <mergeCell ref="F685:F687"/>
    <mergeCell ref="E685:E687"/>
    <mergeCell ref="D685:D687"/>
    <mergeCell ref="C685:C687"/>
    <mergeCell ref="B685:B687"/>
    <mergeCell ref="A685:A687"/>
    <mergeCell ref="O688:O689"/>
    <mergeCell ref="N688:N689"/>
    <mergeCell ref="M688:M689"/>
    <mergeCell ref="F688:F689"/>
    <mergeCell ref="E688:E689"/>
    <mergeCell ref="D688:D689"/>
    <mergeCell ref="C688:C689"/>
    <mergeCell ref="B688:B689"/>
    <mergeCell ref="A688:A689"/>
    <mergeCell ref="O691:O692"/>
    <mergeCell ref="N691:N692"/>
    <mergeCell ref="M691:M692"/>
    <mergeCell ref="F691:F692"/>
    <mergeCell ref="E691:E692"/>
    <mergeCell ref="D691:D692"/>
    <mergeCell ref="C691:C692"/>
    <mergeCell ref="B691:B692"/>
    <mergeCell ref="A691:A692"/>
    <mergeCell ref="O693:O694"/>
    <mergeCell ref="N693:N694"/>
    <mergeCell ref="M693:M694"/>
    <mergeCell ref="F693:F694"/>
    <mergeCell ref="E693:E694"/>
    <mergeCell ref="D693:D694"/>
    <mergeCell ref="C693:C694"/>
    <mergeCell ref="B693:B694"/>
    <mergeCell ref="A693:A694"/>
    <mergeCell ref="O695:O697"/>
    <mergeCell ref="N695:N697"/>
    <mergeCell ref="M695:M697"/>
    <mergeCell ref="F695:F697"/>
    <mergeCell ref="E695:E697"/>
    <mergeCell ref="D695:D697"/>
    <mergeCell ref="C695:C697"/>
    <mergeCell ref="B695:B697"/>
    <mergeCell ref="A695:A697"/>
    <mergeCell ref="O698:O701"/>
    <mergeCell ref="N698:N701"/>
    <mergeCell ref="M698:M701"/>
    <mergeCell ref="F698:F701"/>
    <mergeCell ref="E698:E701"/>
    <mergeCell ref="D698:D701"/>
    <mergeCell ref="C698:C701"/>
    <mergeCell ref="B698:B701"/>
    <mergeCell ref="A698:A701"/>
    <mergeCell ref="O703:O705"/>
    <mergeCell ref="N703:N705"/>
    <mergeCell ref="M703:M705"/>
    <mergeCell ref="F703:F705"/>
    <mergeCell ref="E703:E705"/>
    <mergeCell ref="D703:D705"/>
    <mergeCell ref="C703:C705"/>
    <mergeCell ref="B703:B705"/>
    <mergeCell ref="A703:A705"/>
    <mergeCell ref="O706:O708"/>
    <mergeCell ref="N706:N708"/>
    <mergeCell ref="M706:M708"/>
    <mergeCell ref="F706:F708"/>
    <mergeCell ref="E706:E708"/>
    <mergeCell ref="D706:D708"/>
    <mergeCell ref="C706:C708"/>
    <mergeCell ref="B706:B708"/>
    <mergeCell ref="A706:A708"/>
    <mergeCell ref="O709:O713"/>
    <mergeCell ref="N709:N713"/>
    <mergeCell ref="M709:M713"/>
    <mergeCell ref="F709:F713"/>
    <mergeCell ref="E709:E713"/>
    <mergeCell ref="D709:D713"/>
    <mergeCell ref="C709:C713"/>
    <mergeCell ref="B709:B713"/>
    <mergeCell ref="A709:A713"/>
    <mergeCell ref="Q718:Q727"/>
    <mergeCell ref="O728:O740"/>
    <mergeCell ref="N728:N740"/>
    <mergeCell ref="M728:M740"/>
    <mergeCell ref="O714:O717"/>
    <mergeCell ref="N714:N717"/>
    <mergeCell ref="M714:M717"/>
    <mergeCell ref="F714:F717"/>
    <mergeCell ref="E714:E717"/>
    <mergeCell ref="D714:D717"/>
    <mergeCell ref="C714:C717"/>
    <mergeCell ref="B714:B717"/>
    <mergeCell ref="A714:A717"/>
    <mergeCell ref="O718:O727"/>
    <mergeCell ref="M718:M727"/>
    <mergeCell ref="N718:N727"/>
    <mergeCell ref="F718:F727"/>
    <mergeCell ref="E718:E727"/>
    <mergeCell ref="D718:D727"/>
    <mergeCell ref="C718:C727"/>
    <mergeCell ref="B718:B727"/>
    <mergeCell ref="A718:A727"/>
    <mergeCell ref="F728:F740"/>
    <mergeCell ref="E728:E740"/>
    <mergeCell ref="D728:D740"/>
    <mergeCell ref="C728:C740"/>
    <mergeCell ref="B728:B740"/>
    <mergeCell ref="A728:A740"/>
    <mergeCell ref="O741:O749"/>
    <mergeCell ref="N741:N749"/>
    <mergeCell ref="M741:M749"/>
    <mergeCell ref="F741:F749"/>
    <mergeCell ref="E741:E749"/>
    <mergeCell ref="D741:D749"/>
    <mergeCell ref="C741:C749"/>
    <mergeCell ref="B741:B749"/>
    <mergeCell ref="A741:A749"/>
    <mergeCell ref="O750:O752"/>
    <mergeCell ref="N750:N752"/>
    <mergeCell ref="M750:M752"/>
    <mergeCell ref="F750:F752"/>
    <mergeCell ref="E750:E752"/>
    <mergeCell ref="D750:D752"/>
    <mergeCell ref="C750:C752"/>
    <mergeCell ref="B750:B752"/>
    <mergeCell ref="A750:A752"/>
    <mergeCell ref="O753:O757"/>
    <mergeCell ref="N753:N757"/>
    <mergeCell ref="M753:M757"/>
    <mergeCell ref="F753:F757"/>
    <mergeCell ref="E753:E757"/>
    <mergeCell ref="D753:D757"/>
    <mergeCell ref="C753:C757"/>
    <mergeCell ref="B753:B757"/>
    <mergeCell ref="A753:A757"/>
    <mergeCell ref="O758:O763"/>
    <mergeCell ref="N758:N763"/>
    <mergeCell ref="M758:M763"/>
    <mergeCell ref="F758:F763"/>
    <mergeCell ref="E758:E763"/>
    <mergeCell ref="D758:D763"/>
    <mergeCell ref="C758:C763"/>
    <mergeCell ref="B758:B763"/>
    <mergeCell ref="A758:A763"/>
    <mergeCell ref="O764:O767"/>
    <mergeCell ref="N764:N767"/>
    <mergeCell ref="M764:M767"/>
    <mergeCell ref="F764:F767"/>
    <mergeCell ref="E764:E767"/>
    <mergeCell ref="D764:D767"/>
    <mergeCell ref="C764:C767"/>
    <mergeCell ref="B764:B767"/>
    <mergeCell ref="A764:A767"/>
    <mergeCell ref="O768:O771"/>
    <mergeCell ref="N768:N771"/>
    <mergeCell ref="M768:M771"/>
    <mergeCell ref="F768:F771"/>
    <mergeCell ref="E768:E771"/>
    <mergeCell ref="D768:D771"/>
    <mergeCell ref="C768:C771"/>
    <mergeCell ref="B768:B771"/>
    <mergeCell ref="A768:A771"/>
    <mergeCell ref="O772:O777"/>
    <mergeCell ref="N772:N777"/>
    <mergeCell ref="M772:M777"/>
    <mergeCell ref="F772:F777"/>
    <mergeCell ref="E772:E777"/>
    <mergeCell ref="D772:D777"/>
    <mergeCell ref="C772:C777"/>
    <mergeCell ref="B772:B777"/>
    <mergeCell ref="A772:A777"/>
    <mergeCell ref="O778:O779"/>
    <mergeCell ref="N778:N779"/>
    <mergeCell ref="M778:M779"/>
    <mergeCell ref="F778:F779"/>
    <mergeCell ref="E778:E779"/>
    <mergeCell ref="D778:D779"/>
    <mergeCell ref="C778:C779"/>
    <mergeCell ref="B778:B779"/>
    <mergeCell ref="A778:A779"/>
    <mergeCell ref="D780:D783"/>
    <mergeCell ref="C780:C783"/>
    <mergeCell ref="B780:B783"/>
    <mergeCell ref="A780:A783"/>
    <mergeCell ref="O784:O785"/>
    <mergeCell ref="N784:N785"/>
    <mergeCell ref="M784:M785"/>
    <mergeCell ref="F784:F785"/>
    <mergeCell ref="E784:E785"/>
    <mergeCell ref="D784:D785"/>
    <mergeCell ref="C784:C785"/>
    <mergeCell ref="B784:B785"/>
    <mergeCell ref="A784:A785"/>
    <mergeCell ref="O786:O789"/>
    <mergeCell ref="N786:N789"/>
    <mergeCell ref="M786:M789"/>
    <mergeCell ref="F786:F789"/>
    <mergeCell ref="E786:E789"/>
    <mergeCell ref="D786:D789"/>
    <mergeCell ref="C786:C789"/>
    <mergeCell ref="B786:B789"/>
    <mergeCell ref="A786:A789"/>
    <mergeCell ref="O780:O783"/>
    <mergeCell ref="N780:N783"/>
    <mergeCell ref="M780:M783"/>
    <mergeCell ref="F780:F783"/>
    <mergeCell ref="E780:E783"/>
    <mergeCell ref="O1062:O1067"/>
    <mergeCell ref="N1062:N1067"/>
    <mergeCell ref="M1062:M1067"/>
    <mergeCell ref="F1062:F1067"/>
    <mergeCell ref="E1062:E1067"/>
    <mergeCell ref="D1062:D1067"/>
    <mergeCell ref="C1062:C1067"/>
    <mergeCell ref="B1062:B1067"/>
    <mergeCell ref="A1062:A1067"/>
    <mergeCell ref="R1068:R1071"/>
    <mergeCell ref="O1068:O1071"/>
    <mergeCell ref="N1068:N1071"/>
    <mergeCell ref="M1068:M1071"/>
    <mergeCell ref="F1068:F1071"/>
    <mergeCell ref="E1068:E1071"/>
    <mergeCell ref="D1068:D1071"/>
    <mergeCell ref="C1068:C1071"/>
    <mergeCell ref="B1068:B1071"/>
    <mergeCell ref="A1068:A1071"/>
    <mergeCell ref="N1072:N1076"/>
    <mergeCell ref="M1072:M1076"/>
    <mergeCell ref="O1072:O1076"/>
    <mergeCell ref="F1072:F1076"/>
    <mergeCell ref="E1072:E1076"/>
    <mergeCell ref="D1072:D1076"/>
    <mergeCell ref="C1072:C1076"/>
    <mergeCell ref="B1072:B1076"/>
    <mergeCell ref="A1072:A1076"/>
    <mergeCell ref="R1077:R1078"/>
    <mergeCell ref="R1072:R1076"/>
    <mergeCell ref="O1077:O1078"/>
    <mergeCell ref="N1077:N1078"/>
    <mergeCell ref="M1077:M1078"/>
    <mergeCell ref="F1077:F1078"/>
    <mergeCell ref="E1077:E1078"/>
    <mergeCell ref="D1077:D1078"/>
    <mergeCell ref="C1077:C1078"/>
    <mergeCell ref="B1077:B1078"/>
    <mergeCell ref="A1077:A1078"/>
    <mergeCell ref="R1079:R1080"/>
    <mergeCell ref="O1079:O1080"/>
    <mergeCell ref="N1079:N1080"/>
    <mergeCell ref="M1079:M1080"/>
    <mergeCell ref="F1079:F1080"/>
    <mergeCell ref="E1079:E1080"/>
    <mergeCell ref="D1079:D1080"/>
    <mergeCell ref="C1079:C1080"/>
    <mergeCell ref="B1079:B1080"/>
    <mergeCell ref="A1079:A1080"/>
    <mergeCell ref="R1081:R1082"/>
    <mergeCell ref="O1081:O1082"/>
    <mergeCell ref="N1081:N1082"/>
    <mergeCell ref="M1081:M1082"/>
    <mergeCell ref="F1081:F1082"/>
    <mergeCell ref="E1081:E1082"/>
    <mergeCell ref="D1081:D1082"/>
    <mergeCell ref="C1081:C1082"/>
    <mergeCell ref="B1081:B1082"/>
    <mergeCell ref="A1081:A1082"/>
    <mergeCell ref="O1083:O1084"/>
    <mergeCell ref="N1083:N1084"/>
    <mergeCell ref="M1083:M1084"/>
    <mergeCell ref="F1083:F1084"/>
    <mergeCell ref="E1083:E1084"/>
    <mergeCell ref="D1083:D1084"/>
    <mergeCell ref="C1083:C1084"/>
    <mergeCell ref="B1083:B1084"/>
    <mergeCell ref="A1083:A1084"/>
    <mergeCell ref="O1085:O1086"/>
    <mergeCell ref="N1085:N1086"/>
    <mergeCell ref="M1085:M1086"/>
    <mergeCell ref="F1085:F1086"/>
    <mergeCell ref="E1085:E1086"/>
    <mergeCell ref="D1085:D1086"/>
    <mergeCell ref="C1085:C1086"/>
    <mergeCell ref="B1085:B1086"/>
    <mergeCell ref="A1085:A1086"/>
    <mergeCell ref="O1087:O1088"/>
    <mergeCell ref="N1087:N1088"/>
    <mergeCell ref="M1087:M1088"/>
    <mergeCell ref="F1087:F1088"/>
    <mergeCell ref="E1087:E1088"/>
    <mergeCell ref="D1087:D1088"/>
    <mergeCell ref="C1087:C1088"/>
    <mergeCell ref="B1087:B1088"/>
    <mergeCell ref="A1087:A1088"/>
    <mergeCell ref="R1089:R1091"/>
    <mergeCell ref="O1089:O1091"/>
    <mergeCell ref="N1089:N1091"/>
    <mergeCell ref="M1089:M1091"/>
    <mergeCell ref="F1089:F1091"/>
    <mergeCell ref="E1089:E1091"/>
    <mergeCell ref="D1089:D1091"/>
    <mergeCell ref="C1089:C1091"/>
    <mergeCell ref="B1089:B1091"/>
    <mergeCell ref="A1089:A1091"/>
    <mergeCell ref="O1092:O1098"/>
    <mergeCell ref="N1092:N1098"/>
    <mergeCell ref="M1092:M1098"/>
    <mergeCell ref="F1092:F1098"/>
    <mergeCell ref="E1092:E1098"/>
    <mergeCell ref="D1092:D1098"/>
    <mergeCell ref="C1092:C1098"/>
    <mergeCell ref="B1092:B1098"/>
    <mergeCell ref="A1092:A1098"/>
    <mergeCell ref="O1099:O1102"/>
    <mergeCell ref="N1099:N1102"/>
    <mergeCell ref="M1099:M1102"/>
    <mergeCell ref="F1099:F1102"/>
    <mergeCell ref="E1099:E1102"/>
    <mergeCell ref="D1099:D1102"/>
    <mergeCell ref="C1099:C1102"/>
    <mergeCell ref="B1099:B1102"/>
    <mergeCell ref="A1099:A1102"/>
    <mergeCell ref="R1099:R1102"/>
    <mergeCell ref="O1103:O1106"/>
    <mergeCell ref="N1103:N1106"/>
    <mergeCell ref="M1103:M1106"/>
    <mergeCell ref="F1103:F1106"/>
    <mergeCell ref="E1103:E1106"/>
    <mergeCell ref="D1103:D1106"/>
    <mergeCell ref="C1103:C1106"/>
    <mergeCell ref="B1103:B1106"/>
    <mergeCell ref="A1103:A1106"/>
    <mergeCell ref="O1107:O1109"/>
    <mergeCell ref="N1107:N1109"/>
    <mergeCell ref="M1107:M1109"/>
    <mergeCell ref="F1107:F1109"/>
    <mergeCell ref="E1107:E1109"/>
    <mergeCell ref="D1107:D1109"/>
    <mergeCell ref="C1107:C1109"/>
    <mergeCell ref="B1107:B1109"/>
    <mergeCell ref="A1107:A1109"/>
    <mergeCell ref="O1110:O1111"/>
    <mergeCell ref="N1110:N1111"/>
    <mergeCell ref="M1110:M1111"/>
    <mergeCell ref="F1110:F1111"/>
    <mergeCell ref="E1110:E1111"/>
    <mergeCell ref="D1110:D1111"/>
    <mergeCell ref="C1110:C1111"/>
    <mergeCell ref="B1110:B1111"/>
    <mergeCell ref="A1110:A1111"/>
    <mergeCell ref="R1112:R1116"/>
    <mergeCell ref="O1112:O1116"/>
    <mergeCell ref="N1112:N1116"/>
    <mergeCell ref="M1112:M1116"/>
    <mergeCell ref="F1112:F1116"/>
    <mergeCell ref="E1112:E1116"/>
    <mergeCell ref="D1112:D1116"/>
    <mergeCell ref="C1112:C1116"/>
    <mergeCell ref="B1112:B1116"/>
    <mergeCell ref="A1112:A1116"/>
    <mergeCell ref="R1117:R1125"/>
    <mergeCell ref="O1117:O1125"/>
    <mergeCell ref="N1117:N1125"/>
    <mergeCell ref="M1117:M1125"/>
    <mergeCell ref="F1117:F1125"/>
    <mergeCell ref="E1117:E1125"/>
    <mergeCell ref="D1117:D1125"/>
    <mergeCell ref="C1117:C1125"/>
    <mergeCell ref="B1117:B1125"/>
    <mergeCell ref="A1117:A1125"/>
    <mergeCell ref="R1126:R1130"/>
    <mergeCell ref="O1126:O1130"/>
    <mergeCell ref="F1126:F1130"/>
    <mergeCell ref="E1126:E1130"/>
    <mergeCell ref="D1126:D1130"/>
    <mergeCell ref="C1126:C1130"/>
    <mergeCell ref="B1126:B1130"/>
    <mergeCell ref="A1126:A1130"/>
    <mergeCell ref="N1126:N1130"/>
    <mergeCell ref="M1126:M1130"/>
    <mergeCell ref="R1131:R1142"/>
    <mergeCell ref="O1131:O1142"/>
    <mergeCell ref="N1131:N1142"/>
    <mergeCell ref="M1131:M1142"/>
    <mergeCell ref="F1131:F1142"/>
    <mergeCell ref="E1131:E1142"/>
    <mergeCell ref="D1131:D1142"/>
    <mergeCell ref="C1131:C1142"/>
    <mergeCell ref="B1131:B1142"/>
    <mergeCell ref="A1131:A1142"/>
    <mergeCell ref="R1143:R1150"/>
    <mergeCell ref="O1143:O1150"/>
    <mergeCell ref="N1143:N1150"/>
    <mergeCell ref="M1143:M1150"/>
    <mergeCell ref="F1143:F1150"/>
    <mergeCell ref="E1143:E1150"/>
    <mergeCell ref="D1143:D1150"/>
    <mergeCell ref="C1143:C1150"/>
    <mergeCell ref="B1143:B1150"/>
    <mergeCell ref="A1143:A1150"/>
    <mergeCell ref="R1151:R1157"/>
    <mergeCell ref="O1151:O1157"/>
    <mergeCell ref="N1151:N1157"/>
    <mergeCell ref="M1151:M1157"/>
    <mergeCell ref="F1151:F1157"/>
    <mergeCell ref="E1151:E1157"/>
    <mergeCell ref="D1151:D1157"/>
    <mergeCell ref="C1151:C1157"/>
    <mergeCell ref="B1151:B1157"/>
    <mergeCell ref="A1151:A1157"/>
    <mergeCell ref="R1159:R1161"/>
    <mergeCell ref="N1159:N1161"/>
    <mergeCell ref="M1159:M1161"/>
    <mergeCell ref="O1159:O1161"/>
    <mergeCell ref="F1159:F1161"/>
    <mergeCell ref="E1159:E1161"/>
    <mergeCell ref="D1159:D1161"/>
    <mergeCell ref="C1159:C1161"/>
    <mergeCell ref="B1159:B1161"/>
    <mergeCell ref="A1159:A1161"/>
    <mergeCell ref="R1162:R1163"/>
    <mergeCell ref="O1162:O1163"/>
    <mergeCell ref="N1162:N1163"/>
    <mergeCell ref="M1162:M1163"/>
    <mergeCell ref="F1162:F1163"/>
    <mergeCell ref="E1162:E1163"/>
    <mergeCell ref="D1162:D1163"/>
    <mergeCell ref="C1162:C1163"/>
    <mergeCell ref="B1162:B1163"/>
    <mergeCell ref="A1162:A1163"/>
    <mergeCell ref="R1164:R1165"/>
    <mergeCell ref="O1164:O1165"/>
    <mergeCell ref="N1164:N1165"/>
    <mergeCell ref="M1164:M1165"/>
    <mergeCell ref="F1164:F1165"/>
    <mergeCell ref="E1164:E1165"/>
    <mergeCell ref="D1164:D1165"/>
    <mergeCell ref="C1164:C1165"/>
    <mergeCell ref="B1164:B1165"/>
    <mergeCell ref="A1164:A1165"/>
    <mergeCell ref="R1166:R1169"/>
    <mergeCell ref="O1166:O1169"/>
    <mergeCell ref="N1166:N1169"/>
    <mergeCell ref="M1166:M1169"/>
    <mergeCell ref="F1166:F1169"/>
    <mergeCell ref="E1166:E1169"/>
    <mergeCell ref="D1166:D1169"/>
    <mergeCell ref="C1166:C1169"/>
    <mergeCell ref="B1166:B1169"/>
    <mergeCell ref="A1166:A1169"/>
    <mergeCell ref="R1170:R1174"/>
    <mergeCell ref="O1170:O1174"/>
    <mergeCell ref="N1170:N1174"/>
    <mergeCell ref="M1170:M1174"/>
    <mergeCell ref="F1170:F1174"/>
    <mergeCell ref="E1170:E1174"/>
    <mergeCell ref="D1170:D1174"/>
    <mergeCell ref="C1170:C1174"/>
    <mergeCell ref="B1170:B1174"/>
    <mergeCell ref="A1170:A1174"/>
    <mergeCell ref="R1236:R1238"/>
    <mergeCell ref="Q1236:Q1238"/>
    <mergeCell ref="O1236:O1238"/>
    <mergeCell ref="N1236:N1238"/>
    <mergeCell ref="M1236:M1238"/>
    <mergeCell ref="F1236:F1238"/>
    <mergeCell ref="E1236:E1238"/>
    <mergeCell ref="D1236:D1238"/>
    <mergeCell ref="C1236:C1238"/>
    <mergeCell ref="B1236:B1238"/>
    <mergeCell ref="A1236:A1238"/>
    <mergeCell ref="R1239:R1240"/>
    <mergeCell ref="Q1239:Q1240"/>
    <mergeCell ref="O1239:O1240"/>
    <mergeCell ref="N1239:N1240"/>
    <mergeCell ref="M1239:M1240"/>
    <mergeCell ref="F1239:F1240"/>
    <mergeCell ref="E1239:E1240"/>
    <mergeCell ref="D1239:D1240"/>
    <mergeCell ref="C1239:C1240"/>
    <mergeCell ref="B1239:B1240"/>
    <mergeCell ref="A1239:A1240"/>
    <mergeCell ref="R1241:R1242"/>
    <mergeCell ref="Q1241:Q1242"/>
    <mergeCell ref="O1241:O1242"/>
    <mergeCell ref="N1241:N1242"/>
    <mergeCell ref="M1241:M1242"/>
    <mergeCell ref="F1241:F1242"/>
    <mergeCell ref="E1241:E1242"/>
    <mergeCell ref="D1241:D1242"/>
    <mergeCell ref="C1241:C1242"/>
    <mergeCell ref="B1241:B1242"/>
    <mergeCell ref="A1241:A1242"/>
    <mergeCell ref="R1243:R1244"/>
    <mergeCell ref="Q1243:Q1244"/>
    <mergeCell ref="O1243:O1244"/>
    <mergeCell ref="N1243:N1244"/>
    <mergeCell ref="M1243:M1244"/>
    <mergeCell ref="F1243:F1244"/>
    <mergeCell ref="E1243:E1244"/>
    <mergeCell ref="D1243:D1244"/>
    <mergeCell ref="C1243:C1244"/>
    <mergeCell ref="B1243:B1244"/>
    <mergeCell ref="A1243:A1244"/>
    <mergeCell ref="R1246:R1247"/>
    <mergeCell ref="Q1246:Q1247"/>
    <mergeCell ref="O1246:O1247"/>
    <mergeCell ref="N1246:N1247"/>
    <mergeCell ref="M1246:M1247"/>
    <mergeCell ref="F1246:F1247"/>
    <mergeCell ref="E1246:E1247"/>
    <mergeCell ref="D1246:D1247"/>
    <mergeCell ref="C1246:C1247"/>
    <mergeCell ref="B1246:B1247"/>
    <mergeCell ref="A1246:A1247"/>
    <mergeCell ref="R1248:R1256"/>
    <mergeCell ref="Q1248:Q1256"/>
    <mergeCell ref="O1248:O1256"/>
    <mergeCell ref="N1248:N1256"/>
    <mergeCell ref="M1248:M1256"/>
    <mergeCell ref="F1248:F1256"/>
    <mergeCell ref="E1248:E1256"/>
    <mergeCell ref="D1248:D1256"/>
    <mergeCell ref="C1248:C1256"/>
    <mergeCell ref="B1248:B1256"/>
    <mergeCell ref="A1248:A1256"/>
    <mergeCell ref="R1257:R1260"/>
    <mergeCell ref="Q1257:Q1260"/>
    <mergeCell ref="O1257:O1260"/>
    <mergeCell ref="N1257:N1260"/>
    <mergeCell ref="M1257:M1260"/>
    <mergeCell ref="F1257:F1260"/>
    <mergeCell ref="E1257:E1260"/>
    <mergeCell ref="D1257:D1260"/>
    <mergeCell ref="C1257:C1260"/>
    <mergeCell ref="B1257:B1260"/>
    <mergeCell ref="A1257:A1260"/>
    <mergeCell ref="R1261:R1263"/>
    <mergeCell ref="Q1261:Q1263"/>
    <mergeCell ref="O1261:O1263"/>
    <mergeCell ref="N1261:N1263"/>
    <mergeCell ref="M1261:M1263"/>
    <mergeCell ref="F1261:F1263"/>
    <mergeCell ref="E1261:E1263"/>
    <mergeCell ref="D1261:D1263"/>
    <mergeCell ref="C1261:C1263"/>
    <mergeCell ref="B1261:B1263"/>
    <mergeCell ref="A1261:A1263"/>
    <mergeCell ref="R1264:R1266"/>
    <mergeCell ref="Q1264:Q1266"/>
    <mergeCell ref="O1264:O1266"/>
    <mergeCell ref="N1264:N1266"/>
    <mergeCell ref="M1264:M1266"/>
    <mergeCell ref="F1264:F1266"/>
    <mergeCell ref="E1264:E1266"/>
    <mergeCell ref="D1264:D1266"/>
    <mergeCell ref="C1264:C1266"/>
    <mergeCell ref="B1264:B1266"/>
    <mergeCell ref="A1264:A1266"/>
    <mergeCell ref="R1267:R1273"/>
    <mergeCell ref="Q1267:Q1273"/>
    <mergeCell ref="O1267:O1273"/>
    <mergeCell ref="N1267:N1273"/>
    <mergeCell ref="M1267:M1273"/>
    <mergeCell ref="F1267:F1273"/>
    <mergeCell ref="E1267:E1273"/>
    <mergeCell ref="D1267:D1273"/>
    <mergeCell ref="C1267:C1273"/>
    <mergeCell ref="B1267:B1273"/>
    <mergeCell ref="A1267:A1273"/>
    <mergeCell ref="Q1274:Q1277"/>
    <mergeCell ref="R1274:R1277"/>
    <mergeCell ref="O1274:O1277"/>
    <mergeCell ref="N1274:N1277"/>
    <mergeCell ref="M1274:M1277"/>
    <mergeCell ref="F1274:F1277"/>
    <mergeCell ref="E1274:E1277"/>
    <mergeCell ref="D1274:D1277"/>
    <mergeCell ref="C1274:C1277"/>
    <mergeCell ref="B1274:B1277"/>
    <mergeCell ref="A1274:A1277"/>
    <mergeCell ref="R1278:R1279"/>
    <mergeCell ref="Q1278:Q1279"/>
    <mergeCell ref="O1278:O1279"/>
    <mergeCell ref="N1278:N1279"/>
    <mergeCell ref="M1278:M1279"/>
    <mergeCell ref="F1278:F1279"/>
    <mergeCell ref="E1278:E1279"/>
    <mergeCell ref="D1278:D1279"/>
    <mergeCell ref="C1278:C1279"/>
    <mergeCell ref="B1278:B1279"/>
    <mergeCell ref="A1278:A1279"/>
    <mergeCell ref="R1280:R1284"/>
    <mergeCell ref="Q1280:Q1284"/>
    <mergeCell ref="O1280:O1284"/>
    <mergeCell ref="N1280:N1284"/>
    <mergeCell ref="M1280:M1284"/>
    <mergeCell ref="F1280:F1284"/>
    <mergeCell ref="E1280:E1284"/>
    <mergeCell ref="D1280:D1284"/>
    <mergeCell ref="C1280:C1284"/>
    <mergeCell ref="B1280:B1284"/>
    <mergeCell ref="A1280:A1284"/>
    <mergeCell ref="R1285:R1288"/>
    <mergeCell ref="Q1285:Q1288"/>
    <mergeCell ref="O1285:O1288"/>
    <mergeCell ref="N1285:N1288"/>
    <mergeCell ref="M1285:M1288"/>
    <mergeCell ref="F1285:F1288"/>
    <mergeCell ref="E1285:E1288"/>
    <mergeCell ref="D1285:D1288"/>
    <mergeCell ref="C1285:C1288"/>
    <mergeCell ref="B1285:B1288"/>
    <mergeCell ref="A1285:A1288"/>
    <mergeCell ref="R1289:R1290"/>
    <mergeCell ref="Q1289:Q1290"/>
    <mergeCell ref="O1289:O1290"/>
    <mergeCell ref="N1289:N1290"/>
    <mergeCell ref="M1289:M1290"/>
    <mergeCell ref="F1289:F1290"/>
    <mergeCell ref="E1289:E1290"/>
    <mergeCell ref="D1289:D1290"/>
    <mergeCell ref="C1289:C1290"/>
    <mergeCell ref="B1289:B1290"/>
    <mergeCell ref="A1289:A1290"/>
    <mergeCell ref="R1291:R1293"/>
    <mergeCell ref="Q1291:Q1293"/>
    <mergeCell ref="O1291:O1293"/>
    <mergeCell ref="N1291:N1293"/>
    <mergeCell ref="M1291:M1293"/>
    <mergeCell ref="F1291:F1293"/>
    <mergeCell ref="E1291:E1293"/>
    <mergeCell ref="D1291:D1293"/>
    <mergeCell ref="C1291:C1293"/>
    <mergeCell ref="B1291:B1293"/>
    <mergeCell ref="A1291:A1293"/>
    <mergeCell ref="R1294:R1299"/>
    <mergeCell ref="Q1294:Q1299"/>
    <mergeCell ref="O1294:O1299"/>
    <mergeCell ref="N1294:N1299"/>
    <mergeCell ref="M1294:M1299"/>
    <mergeCell ref="F1294:F1299"/>
    <mergeCell ref="E1294:E1299"/>
    <mergeCell ref="D1294:D1299"/>
    <mergeCell ref="C1294:C1299"/>
    <mergeCell ref="B1294:B1299"/>
    <mergeCell ref="A1294:A1299"/>
    <mergeCell ref="R1300:R1307"/>
    <mergeCell ref="Q1300:Q1307"/>
    <mergeCell ref="O1300:O1307"/>
    <mergeCell ref="N1300:N1307"/>
    <mergeCell ref="M1300:M1307"/>
    <mergeCell ref="F1300:F1307"/>
    <mergeCell ref="E1300:E1307"/>
    <mergeCell ref="D1300:D1307"/>
    <mergeCell ref="C1300:C1307"/>
    <mergeCell ref="B1300:B1307"/>
    <mergeCell ref="A1300:A1307"/>
    <mergeCell ref="R1308:R1309"/>
    <mergeCell ref="Q1308:Q1309"/>
    <mergeCell ref="O1308:O1309"/>
    <mergeCell ref="N1308:N1309"/>
    <mergeCell ref="M1308:M1309"/>
    <mergeCell ref="F1308:F1309"/>
    <mergeCell ref="E1308:E1309"/>
    <mergeCell ref="D1308:D1309"/>
    <mergeCell ref="C1308:C1309"/>
    <mergeCell ref="B1308:B1309"/>
    <mergeCell ref="A1308:A1309"/>
    <mergeCell ref="R1310:R1314"/>
    <mergeCell ref="Q1310:Q1314"/>
    <mergeCell ref="O1310:O1314"/>
    <mergeCell ref="N1310:N1314"/>
    <mergeCell ref="M1310:M1314"/>
    <mergeCell ref="F1310:F1314"/>
    <mergeCell ref="E1310:E1314"/>
    <mergeCell ref="D1310:D1314"/>
    <mergeCell ref="C1310:C1314"/>
    <mergeCell ref="B1310:B1314"/>
    <mergeCell ref="A1310:A1314"/>
    <mergeCell ref="F1364:F1368"/>
    <mergeCell ref="E1364:E1368"/>
    <mergeCell ref="D1364:D1368"/>
    <mergeCell ref="C1364:C1368"/>
    <mergeCell ref="B1364:B1368"/>
    <mergeCell ref="A1364:A1368"/>
    <mergeCell ref="R1364:R1368"/>
    <mergeCell ref="Q1364:Q1368"/>
    <mergeCell ref="O1364:O1368"/>
    <mergeCell ref="N1364:N1368"/>
    <mergeCell ref="M1364:M1368"/>
    <mergeCell ref="R1369:R1370"/>
    <mergeCell ref="Q1369:Q1370"/>
    <mergeCell ref="O1369:O1370"/>
    <mergeCell ref="N1369:N1370"/>
    <mergeCell ref="M1369:M1370"/>
    <mergeCell ref="F1369:F1370"/>
    <mergeCell ref="E1369:E1370"/>
    <mergeCell ref="D1369:D1370"/>
    <mergeCell ref="C1369:C1370"/>
    <mergeCell ref="B1369:B1370"/>
    <mergeCell ref="A1369:A1370"/>
    <mergeCell ref="R1371:R1373"/>
    <mergeCell ref="Q1371:Q1373"/>
    <mergeCell ref="N1371:N1373"/>
    <mergeCell ref="M1371:M1373"/>
    <mergeCell ref="F1371:F1373"/>
    <mergeCell ref="E1371:E1373"/>
    <mergeCell ref="D1371:D1373"/>
    <mergeCell ref="C1371:C1373"/>
    <mergeCell ref="B1371:B1373"/>
    <mergeCell ref="A1371:A1373"/>
    <mergeCell ref="O1371:O1373"/>
    <mergeCell ref="R1374:R1377"/>
    <mergeCell ref="Q1374:Q1377"/>
    <mergeCell ref="O1374:O1377"/>
    <mergeCell ref="N1374:N1377"/>
    <mergeCell ref="M1374:M1377"/>
    <mergeCell ref="F1374:F1377"/>
    <mergeCell ref="E1374:E1377"/>
    <mergeCell ref="D1374:D1377"/>
    <mergeCell ref="C1374:C1377"/>
    <mergeCell ref="B1374:B1377"/>
    <mergeCell ref="A1374:A1377"/>
    <mergeCell ref="O1558:O1559"/>
    <mergeCell ref="N1558:N1559"/>
    <mergeCell ref="M1558:M1559"/>
    <mergeCell ref="F1558:F1559"/>
    <mergeCell ref="E1558:E1559"/>
    <mergeCell ref="D1558:D1559"/>
    <mergeCell ref="C1558:C1559"/>
    <mergeCell ref="B1558:B1559"/>
    <mergeCell ref="A1558:A1559"/>
    <mergeCell ref="O1560:O1563"/>
    <mergeCell ref="N1560:N1563"/>
    <mergeCell ref="M1560:M1563"/>
    <mergeCell ref="F1560:F1563"/>
    <mergeCell ref="E1560:E1563"/>
    <mergeCell ref="D1560:D1563"/>
    <mergeCell ref="C1560:C1563"/>
    <mergeCell ref="B1560:B1563"/>
    <mergeCell ref="A1560:A1563"/>
    <mergeCell ref="O1564:O1565"/>
    <mergeCell ref="N1564:N1565"/>
    <mergeCell ref="M1564:M1565"/>
    <mergeCell ref="F1564:F1565"/>
    <mergeCell ref="E1564:E1565"/>
    <mergeCell ref="D1564:D1565"/>
    <mergeCell ref="C1564:C1565"/>
    <mergeCell ref="B1564:B1565"/>
    <mergeCell ref="A1564:A1565"/>
    <mergeCell ref="O1566:O1575"/>
    <mergeCell ref="N1566:N1575"/>
    <mergeCell ref="M1566:M1575"/>
    <mergeCell ref="F1566:F1575"/>
    <mergeCell ref="E1566:E1575"/>
    <mergeCell ref="D1566:D1575"/>
    <mergeCell ref="C1566:C1575"/>
    <mergeCell ref="B1566:B1575"/>
    <mergeCell ref="A1566:A1575"/>
    <mergeCell ref="O1576:O1585"/>
    <mergeCell ref="N1576:N1585"/>
    <mergeCell ref="M1576:M1585"/>
    <mergeCell ref="F1576:F1585"/>
    <mergeCell ref="E1576:E1585"/>
    <mergeCell ref="D1576:D1585"/>
    <mergeCell ref="C1576:C1585"/>
    <mergeCell ref="B1576:B1585"/>
    <mergeCell ref="A1576:A1585"/>
    <mergeCell ref="O1586:O1592"/>
    <mergeCell ref="N1586:N1592"/>
    <mergeCell ref="M1586:M1592"/>
    <mergeCell ref="F1586:F1592"/>
    <mergeCell ref="E1586:E1592"/>
    <mergeCell ref="D1586:D1592"/>
    <mergeCell ref="C1586:C1592"/>
    <mergeCell ref="B1586:B1592"/>
    <mergeCell ref="A1586:A1592"/>
    <mergeCell ref="O1595:O1596"/>
    <mergeCell ref="N1595:N1596"/>
    <mergeCell ref="M1595:M1596"/>
    <mergeCell ref="F1595:F1596"/>
    <mergeCell ref="E1595:E1596"/>
    <mergeCell ref="D1595:D1596"/>
    <mergeCell ref="C1595:C1596"/>
    <mergeCell ref="B1595:B1596"/>
    <mergeCell ref="A1595:A1596"/>
    <mergeCell ref="O1597:O1599"/>
    <mergeCell ref="N1597:N1599"/>
    <mergeCell ref="M1597:M1599"/>
    <mergeCell ref="F1597:F1599"/>
    <mergeCell ref="E1597:E1599"/>
    <mergeCell ref="D1597:D1599"/>
    <mergeCell ref="C1597:C1599"/>
    <mergeCell ref="B1597:B1599"/>
    <mergeCell ref="A1597:A1599"/>
  </mergeCells>
  <conditionalFormatting sqref="Q1:Q1220 Q1226 Q1229 Q1231 Q1233 Q1236 Q1239 Q1241 Q1243 Q1245:Q1246 Q1248 Q1257 Q1261 Q1264 Q1267 Q1274 Q1278 Q1280 Q1285 Q1289 Q1291 Q1294 Q1300 Q1308 Q1310 Q1315 Q1318 Q1320 Q1322 Q1324 Q1329 Q1343 Q1347 Q1351 Q1355 Q1358 Q1361 Q1363:Q1364 Q1369 Q1371 Q1374 Q1378:Q1048576">
    <cfRule type="cellIs" dxfId="1" priority="1" operator="equal">
      <formula>TRUE</formula>
    </cfRule>
    <cfRule type="cellIs" dxfId="0" priority="2" operator="equal">
      <formula>"True"</formula>
    </cfRule>
  </conditionalFormatting>
  <dataValidations count="1">
    <dataValidation type="list" allowBlank="1" showInputMessage="1" showErrorMessage="1" promptTitle="Status społeczny" sqref="I1:I1355 I1357:I1048576" xr:uid="{BA51B8C5-55D9-4AB0-800D-138737E1CC02}">
      <formula1>$V$2:$V$16</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Arkusz1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Bartek Pocielej</dc:creator>
  <cp:lastModifiedBy>Bartek Pocielej</cp:lastModifiedBy>
  <dcterms:created xsi:type="dcterms:W3CDTF">2026-06-17T07:48:11Z</dcterms:created>
  <dcterms:modified xsi:type="dcterms:W3CDTF">2026-10-08T17:49:47Z</dcterms:modified>
</cp:coreProperties>
</file>